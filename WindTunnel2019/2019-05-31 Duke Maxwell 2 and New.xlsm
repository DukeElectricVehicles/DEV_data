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Users\Customer\Desktop\"/>
    </mc:Choice>
  </mc:AlternateContent>
  <bookViews>
    <workbookView xWindow="0" yWindow="-45" windowWidth="25710" windowHeight="13545" firstSheet="1" activeTab="1"/>
  </bookViews>
  <sheets>
    <sheet name="CBI" sheetId="1" state="veryHidden" r:id="rId1"/>
    <sheet name="Coeff" sheetId="2" r:id="rId2"/>
    <sheet name="Time" sheetId="3" r:id="rId3"/>
  </sheets>
  <definedNames>
    <definedName name="Z_713535A1_63D1_469B_A76D_6F7E59A77D5A_.wvu.Cols" localSheetId="1" hidden="1">Coeff!$J:$L,Coeff!$X:$AB</definedName>
    <definedName name="Z_9CC97356_07AB_46FE_A8EE_09110414999D_.wvu.Cols" localSheetId="1" hidden="1">Coeff!$J:$L,Coeff!$X:$AB</definedName>
  </definedNames>
  <calcPr calcId="152511"/>
  <customWorkbookViews>
    <customWorkbookView name="A2DAQ - Personal View" guid="{713535A1-63D1-469B-A76D-6F7E59A77D5A}" mergeInterval="0" personalView="1" yWindow="120" windowWidth="1910" windowHeight="841" activeSheetId="2"/>
    <customWorkbookView name="Customer - Personal View" guid="{9CC97356-07AB-46FE-A8EE-09110414999D}" autoUpdate="1" mergeInterval="5" personalView="1" xWindow="3" yWindow="3" windowWidth="1914" windowHeight="1017" activeSheetId="2"/>
  </customWorkbookViews>
</workbook>
</file>

<file path=xl/calcChain.xml><?xml version="1.0" encoding="utf-8"?>
<calcChain xmlns="http://schemas.openxmlformats.org/spreadsheetml/2006/main">
  <c r="AC181" i="2" l="1"/>
  <c r="AC182" i="2"/>
  <c r="V182" i="2"/>
  <c r="AC183" i="2"/>
  <c r="V183" i="2"/>
  <c r="W183" i="2" s="1"/>
  <c r="AC184" i="2"/>
  <c r="AC185" i="2"/>
  <c r="V185" i="2"/>
  <c r="AC186" i="2"/>
  <c r="V186" i="2"/>
  <c r="W186" i="2" s="1"/>
  <c r="AC187" i="2"/>
  <c r="AC188" i="2"/>
  <c r="V188" i="2"/>
  <c r="AC189" i="2"/>
  <c r="V189" i="2"/>
  <c r="W189" i="2" s="1"/>
  <c r="AC190" i="2"/>
  <c r="AC191" i="2"/>
  <c r="V191" i="2"/>
  <c r="AC192" i="2"/>
  <c r="V192" i="2"/>
  <c r="W192" i="2" s="1"/>
  <c r="AC193" i="2"/>
  <c r="AC194" i="2"/>
  <c r="V194" i="2"/>
  <c r="AC195" i="2"/>
  <c r="V195" i="2"/>
  <c r="W195" i="2" s="1"/>
  <c r="AC196" i="2"/>
  <c r="AC197" i="2"/>
  <c r="V197" i="2"/>
  <c r="AC198" i="2"/>
  <c r="V198" i="2"/>
  <c r="W198" i="2" s="1"/>
  <c r="AC199" i="2"/>
  <c r="AC200" i="2"/>
  <c r="V200" i="2"/>
  <c r="AC201" i="2"/>
  <c r="V201" i="2"/>
  <c r="W201" i="2" s="1"/>
  <c r="AC202" i="2"/>
  <c r="AC203" i="2"/>
  <c r="V203" i="2"/>
  <c r="W203" i="2" s="1"/>
  <c r="AC204" i="2"/>
  <c r="V204" i="2"/>
  <c r="W204" i="2" s="1"/>
  <c r="AC205" i="2"/>
  <c r="AC206" i="2"/>
  <c r="V206" i="2"/>
  <c r="AC207" i="2"/>
  <c r="V207" i="2"/>
  <c r="W207" i="2" s="1"/>
  <c r="AC208" i="2"/>
  <c r="AC209" i="2"/>
  <c r="V209" i="2"/>
  <c r="AC210" i="2"/>
  <c r="V210" i="2"/>
  <c r="W210" i="2" s="1"/>
  <c r="AC211" i="2"/>
  <c r="AC212" i="2"/>
  <c r="V212" i="2"/>
  <c r="AC213" i="2"/>
  <c r="V213" i="2"/>
  <c r="W213" i="2" s="1"/>
  <c r="AC214" i="2"/>
  <c r="AC215" i="2"/>
  <c r="V215" i="2"/>
  <c r="W215" i="2" s="1"/>
  <c r="AC216" i="2"/>
  <c r="V216" i="2"/>
  <c r="W216" i="2" s="1"/>
  <c r="AC217" i="2"/>
  <c r="AC218" i="2"/>
  <c r="V218" i="2"/>
  <c r="AC219" i="2"/>
  <c r="V219" i="2"/>
  <c r="W219" i="2" s="1"/>
  <c r="AC220" i="2"/>
  <c r="AC221" i="2"/>
  <c r="V221" i="2"/>
  <c r="W221" i="2" s="1"/>
  <c r="AC222" i="2"/>
  <c r="V222" i="2"/>
  <c r="W222" i="2" s="1"/>
  <c r="AC223" i="2"/>
  <c r="AC224" i="2"/>
  <c r="V224" i="2"/>
  <c r="AC225" i="2"/>
  <c r="V225" i="2"/>
  <c r="W225" i="2" s="1"/>
  <c r="AC226" i="2"/>
  <c r="AC227" i="2"/>
  <c r="V227" i="2"/>
  <c r="W227" i="2" s="1"/>
  <c r="AC228" i="2"/>
  <c r="V228" i="2"/>
  <c r="W228" i="2" s="1"/>
  <c r="AC229" i="2"/>
  <c r="AC230" i="2"/>
  <c r="V230" i="2"/>
  <c r="AC231" i="2"/>
  <c r="V231" i="2"/>
  <c r="W231" i="2" s="1"/>
  <c r="AC232" i="2"/>
  <c r="AC233" i="2"/>
  <c r="V233" i="2"/>
  <c r="W233" i="2" s="1"/>
  <c r="AC234" i="2"/>
  <c r="V234" i="2"/>
  <c r="W234" i="2" s="1"/>
  <c r="AC235" i="2"/>
  <c r="AC236" i="2"/>
  <c r="V236" i="2"/>
  <c r="AC237" i="2"/>
  <c r="V237" i="2"/>
  <c r="W237" i="2" s="1"/>
  <c r="AC238" i="2"/>
  <c r="AC239" i="2"/>
  <c r="V239" i="2"/>
  <c r="W239" i="2" s="1"/>
  <c r="AC240" i="2"/>
  <c r="V240" i="2"/>
  <c r="W240" i="2" s="1"/>
  <c r="AC241" i="2"/>
  <c r="AC242" i="2"/>
  <c r="V242" i="2"/>
  <c r="AC243" i="2"/>
  <c r="V243" i="2"/>
  <c r="W243" i="2" s="1"/>
  <c r="AC244" i="2"/>
  <c r="AC245" i="2"/>
  <c r="V245" i="2"/>
  <c r="W245" i="2" s="1"/>
  <c r="AC246" i="2"/>
  <c r="V246" i="2"/>
  <c r="W246" i="2" s="1"/>
  <c r="AC247" i="2"/>
  <c r="AC248" i="2"/>
  <c r="V248" i="2"/>
  <c r="AC249" i="2"/>
  <c r="V249" i="2"/>
  <c r="W249" i="2" s="1"/>
  <c r="AC250" i="2"/>
  <c r="AC251" i="2"/>
  <c r="V251" i="2"/>
  <c r="W251" i="2" s="1"/>
  <c r="AC252" i="2"/>
  <c r="V252" i="2"/>
  <c r="W252" i="2" s="1"/>
  <c r="AC253" i="2"/>
  <c r="AC254" i="2"/>
  <c r="V254" i="2"/>
  <c r="AC255" i="2"/>
  <c r="V255" i="2"/>
  <c r="W255" i="2" s="1"/>
  <c r="AC256" i="2"/>
  <c r="AC257" i="2"/>
  <c r="V257" i="2"/>
  <c r="W257" i="2" s="1"/>
  <c r="V258" i="2"/>
  <c r="W258" i="2" s="1"/>
  <c r="AC258" i="2"/>
  <c r="AC259" i="2"/>
  <c r="AC260" i="2"/>
  <c r="V260" i="2"/>
  <c r="AC261" i="2"/>
  <c r="V261" i="2"/>
  <c r="W261" i="2" s="1"/>
  <c r="AC262" i="2"/>
  <c r="AC263" i="2"/>
  <c r="V263" i="2"/>
  <c r="W263" i="2" s="1"/>
  <c r="AC264" i="2"/>
  <c r="V264" i="2"/>
  <c r="W264" i="2" s="1"/>
  <c r="AC265" i="2"/>
  <c r="AC266" i="2"/>
  <c r="V266" i="2"/>
  <c r="AC267" i="2"/>
  <c r="V267" i="2"/>
  <c r="W267" i="2" s="1"/>
  <c r="AC268" i="2"/>
  <c r="AC269" i="2"/>
  <c r="V269" i="2"/>
  <c r="W269" i="2" s="1"/>
  <c r="AC270" i="2"/>
  <c r="V270" i="2"/>
  <c r="W270" i="2" s="1"/>
  <c r="AC271" i="2"/>
  <c r="AC272" i="2"/>
  <c r="V272" i="2"/>
  <c r="AC273" i="2"/>
  <c r="V273" i="2"/>
  <c r="W273" i="2" s="1"/>
  <c r="AC274" i="2"/>
  <c r="AC275" i="2"/>
  <c r="V275" i="2"/>
  <c r="W275" i="2" s="1"/>
  <c r="AC276" i="2"/>
  <c r="V276" i="2"/>
  <c r="W276" i="2" s="1"/>
  <c r="AC277" i="2"/>
  <c r="AC278" i="2"/>
  <c r="V278" i="2"/>
  <c r="AC279" i="2"/>
  <c r="V279" i="2"/>
  <c r="W279" i="2" s="1"/>
  <c r="AC280" i="2"/>
  <c r="AC281" i="2"/>
  <c r="V281" i="2"/>
  <c r="AC282" i="2"/>
  <c r="V282" i="2"/>
  <c r="W282" i="2" s="1"/>
  <c r="AC283" i="2"/>
  <c r="AC284" i="2"/>
  <c r="V284" i="2"/>
  <c r="AC285" i="2"/>
  <c r="V285" i="2"/>
  <c r="W285" i="2" s="1"/>
  <c r="AC286" i="2"/>
  <c r="AC287" i="2"/>
  <c r="V287" i="2"/>
  <c r="W287" i="2" s="1"/>
  <c r="AC288" i="2"/>
  <c r="V288" i="2"/>
  <c r="W288" i="2" s="1"/>
  <c r="AC289" i="2"/>
  <c r="AC290" i="2"/>
  <c r="V290" i="2"/>
  <c r="AC291" i="2"/>
  <c r="V291" i="2"/>
  <c r="W291" i="2" s="1"/>
  <c r="AC292" i="2"/>
  <c r="AC293" i="2"/>
  <c r="V293" i="2"/>
  <c r="W293" i="2" s="1"/>
  <c r="AC294" i="2"/>
  <c r="V294" i="2"/>
  <c r="W294" i="2" s="1"/>
  <c r="AC295" i="2"/>
  <c r="AC296" i="2"/>
  <c r="V296" i="2"/>
  <c r="AC297" i="2"/>
  <c r="V297" i="2"/>
  <c r="W297" i="2" s="1"/>
  <c r="AC298" i="2"/>
  <c r="AC299" i="2"/>
  <c r="V299" i="2"/>
  <c r="W299" i="2" s="1"/>
  <c r="AC300" i="2"/>
  <c r="V300" i="2"/>
  <c r="W300" i="2" s="1"/>
  <c r="AC301" i="2"/>
  <c r="AC302" i="2"/>
  <c r="V302" i="2"/>
  <c r="AC303" i="2"/>
  <c r="V303" i="2"/>
  <c r="W303" i="2" s="1"/>
  <c r="AC304" i="2"/>
  <c r="AC305" i="2"/>
  <c r="V305" i="2"/>
  <c r="W305" i="2" s="1"/>
  <c r="AC306" i="2"/>
  <c r="V306" i="2"/>
  <c r="W306" i="2" s="1"/>
  <c r="AC307" i="2"/>
  <c r="AC308" i="2"/>
  <c r="V308" i="2"/>
  <c r="V309" i="2"/>
  <c r="W309" i="2" s="1"/>
  <c r="AC309" i="2"/>
  <c r="AC310" i="2"/>
  <c r="AC311" i="2"/>
  <c r="V311" i="2"/>
  <c r="W311" i="2" s="1"/>
  <c r="AC312" i="2"/>
  <c r="V312" i="2"/>
  <c r="W312" i="2" s="1"/>
  <c r="AC313" i="2"/>
  <c r="AC314" i="2"/>
  <c r="V314" i="2"/>
  <c r="AC315" i="2"/>
  <c r="V315" i="2"/>
  <c r="W315" i="2" s="1"/>
  <c r="AC316" i="2"/>
  <c r="AC317" i="2"/>
  <c r="V317" i="2"/>
  <c r="AC318" i="2"/>
  <c r="V318" i="2"/>
  <c r="W318" i="2" s="1"/>
  <c r="AC319" i="2"/>
  <c r="AC320" i="2"/>
  <c r="V320" i="2"/>
  <c r="AC321" i="2"/>
  <c r="V321" i="2"/>
  <c r="W321" i="2" s="1"/>
  <c r="AC322" i="2"/>
  <c r="AC323" i="2"/>
  <c r="V323" i="2"/>
  <c r="W323" i="2" s="1"/>
  <c r="AC324" i="2"/>
  <c r="V324" i="2"/>
  <c r="W324" i="2" s="1"/>
  <c r="AC325" i="2"/>
  <c r="AC326" i="2"/>
  <c r="V326" i="2"/>
  <c r="AC327" i="2"/>
  <c r="V327" i="2"/>
  <c r="W327" i="2" s="1"/>
  <c r="AC328" i="2"/>
  <c r="AC329" i="2"/>
  <c r="V329" i="2"/>
  <c r="W329" i="2" s="1"/>
  <c r="AC330" i="2"/>
  <c r="V330" i="2"/>
  <c r="W330" i="2" s="1"/>
  <c r="AC331" i="2"/>
  <c r="AC332" i="2"/>
  <c r="V332" i="2"/>
  <c r="W332" i="2" s="1"/>
  <c r="AC333" i="2"/>
  <c r="V333" i="2"/>
  <c r="W333" i="2" s="1"/>
  <c r="AC334" i="2"/>
  <c r="AC335" i="2"/>
  <c r="V335" i="2"/>
  <c r="W335" i="2" s="1"/>
  <c r="AC336" i="2"/>
  <c r="V336" i="2"/>
  <c r="W336" i="2" s="1"/>
  <c r="AC337" i="2"/>
  <c r="AC338" i="2"/>
  <c r="V338" i="2"/>
  <c r="W338" i="2" s="1"/>
  <c r="AC339" i="2"/>
  <c r="V339" i="2"/>
  <c r="W339" i="2" s="1"/>
  <c r="AC340" i="2"/>
  <c r="AC341" i="2"/>
  <c r="V341" i="2"/>
  <c r="W341" i="2" s="1"/>
  <c r="AC342" i="2"/>
  <c r="V342" i="2"/>
  <c r="W342" i="2" s="1"/>
  <c r="AC343" i="2"/>
  <c r="AC344" i="2"/>
  <c r="V344" i="2"/>
  <c r="W344" i="2" s="1"/>
  <c r="AC345" i="2"/>
  <c r="V345" i="2"/>
  <c r="W345" i="2" s="1"/>
  <c r="AC346" i="2"/>
  <c r="AC347" i="2"/>
  <c r="V347" i="2"/>
  <c r="AC348" i="2"/>
  <c r="V348" i="2"/>
  <c r="W348" i="2" s="1"/>
  <c r="AC349" i="2"/>
  <c r="AC350" i="2"/>
  <c r="V350" i="2"/>
  <c r="W350" i="2" s="1"/>
  <c r="AC351" i="2"/>
  <c r="V351" i="2"/>
  <c r="W351" i="2" s="1"/>
  <c r="AC352" i="2"/>
  <c r="AC353" i="2"/>
  <c r="V353" i="2"/>
  <c r="AC354" i="2"/>
  <c r="V354" i="2"/>
  <c r="W354" i="2" s="1"/>
  <c r="AC355" i="2"/>
  <c r="AC356" i="2"/>
  <c r="V356" i="2"/>
  <c r="W356" i="2" s="1"/>
  <c r="AC357" i="2"/>
  <c r="V357" i="2"/>
  <c r="W357" i="2" s="1"/>
  <c r="AC358" i="2"/>
  <c r="AC359" i="2"/>
  <c r="V359" i="2"/>
  <c r="AC360" i="2"/>
  <c r="V360" i="2"/>
  <c r="W360" i="2" s="1"/>
  <c r="AC361" i="2"/>
  <c r="AC362" i="2"/>
  <c r="V362" i="2"/>
  <c r="AC363" i="2"/>
  <c r="V363" i="2"/>
  <c r="W363" i="2" s="1"/>
  <c r="V208" i="2" l="1"/>
  <c r="V316" i="2"/>
  <c r="W250" i="2"/>
  <c r="W355" i="2"/>
  <c r="V298" i="2"/>
  <c r="W238" i="2"/>
  <c r="W226" i="2"/>
  <c r="V328" i="2"/>
  <c r="V331" i="2"/>
  <c r="W262" i="2"/>
  <c r="W209" i="2"/>
  <c r="W208" i="2" s="1"/>
  <c r="V196" i="2"/>
  <c r="W197" i="2"/>
  <c r="W196" i="2" s="1"/>
  <c r="V352" i="2"/>
  <c r="W343" i="2"/>
  <c r="W340" i="2"/>
  <c r="W328" i="2"/>
  <c r="V334" i="2"/>
  <c r="W331" i="2"/>
  <c r="V322" i="2"/>
  <c r="W317" i="2"/>
  <c r="W316" i="2" s="1"/>
  <c r="V304" i="2"/>
  <c r="W298" i="2"/>
  <c r="V274" i="2"/>
  <c r="W349" i="2"/>
  <c r="W292" i="2"/>
  <c r="V340" i="2"/>
  <c r="W337" i="2"/>
  <c r="W310" i="2"/>
  <c r="V292" i="2"/>
  <c r="W286" i="2"/>
  <c r="W214" i="2"/>
  <c r="V346" i="2"/>
  <c r="V337" i="2"/>
  <c r="W334" i="2"/>
  <c r="W322" i="2"/>
  <c r="V310" i="2"/>
  <c r="W304" i="2"/>
  <c r="V286" i="2"/>
  <c r="W274" i="2"/>
  <c r="V202" i="2"/>
  <c r="V358" i="2"/>
  <c r="V361" i="2"/>
  <c r="W359" i="2"/>
  <c r="W358" i="2" s="1"/>
  <c r="V355" i="2"/>
  <c r="W353" i="2"/>
  <c r="W352" i="2" s="1"/>
  <c r="V349" i="2"/>
  <c r="W347" i="2"/>
  <c r="W346" i="2" s="1"/>
  <c r="V343" i="2"/>
  <c r="V319" i="2"/>
  <c r="W320" i="2"/>
  <c r="W319" i="2" s="1"/>
  <c r="V307" i="2"/>
  <c r="W308" i="2"/>
  <c r="W307" i="2" s="1"/>
  <c r="V295" i="2"/>
  <c r="W296" i="2"/>
  <c r="W295" i="2" s="1"/>
  <c r="V283" i="2"/>
  <c r="W284" i="2"/>
  <c r="W283" i="2" s="1"/>
  <c r="V280" i="2"/>
  <c r="W281" i="2"/>
  <c r="W280" i="2" s="1"/>
  <c r="W256" i="2"/>
  <c r="W232" i="2"/>
  <c r="W362" i="2"/>
  <c r="W361" i="2" s="1"/>
  <c r="V325" i="2"/>
  <c r="W326" i="2"/>
  <c r="W325" i="2" s="1"/>
  <c r="V313" i="2"/>
  <c r="W314" i="2"/>
  <c r="W313" i="2" s="1"/>
  <c r="V301" i="2"/>
  <c r="W302" i="2"/>
  <c r="W301" i="2" s="1"/>
  <c r="V289" i="2"/>
  <c r="W290" i="2"/>
  <c r="W289" i="2" s="1"/>
  <c r="V277" i="2"/>
  <c r="W278" i="2"/>
  <c r="W277" i="2" s="1"/>
  <c r="W268" i="2"/>
  <c r="W244" i="2"/>
  <c r="W220" i="2"/>
  <c r="V268" i="2"/>
  <c r="V265" i="2"/>
  <c r="W266" i="2"/>
  <c r="W265" i="2" s="1"/>
  <c r="V262" i="2"/>
  <c r="V259" i="2"/>
  <c r="W260" i="2"/>
  <c r="W259" i="2" s="1"/>
  <c r="V256" i="2"/>
  <c r="V253" i="2"/>
  <c r="W254" i="2"/>
  <c r="W253" i="2" s="1"/>
  <c r="V250" i="2"/>
  <c r="V247" i="2"/>
  <c r="W248" i="2"/>
  <c r="W247" i="2" s="1"/>
  <c r="V244" i="2"/>
  <c r="V241" i="2"/>
  <c r="W242" i="2"/>
  <c r="W241" i="2" s="1"/>
  <c r="V238" i="2"/>
  <c r="V235" i="2"/>
  <c r="W236" i="2"/>
  <c r="W235" i="2" s="1"/>
  <c r="V232" i="2"/>
  <c r="V229" i="2"/>
  <c r="W230" i="2"/>
  <c r="W229" i="2" s="1"/>
  <c r="V226" i="2"/>
  <c r="V223" i="2"/>
  <c r="W224" i="2"/>
  <c r="W223" i="2" s="1"/>
  <c r="V220" i="2"/>
  <c r="V217" i="2"/>
  <c r="W218" i="2"/>
  <c r="W217" i="2" s="1"/>
  <c r="V214" i="2"/>
  <c r="V211" i="2"/>
  <c r="W212" i="2"/>
  <c r="W211" i="2" s="1"/>
  <c r="V205" i="2"/>
  <c r="W206" i="2"/>
  <c r="W205" i="2" s="1"/>
  <c r="V199" i="2"/>
  <c r="W200" i="2"/>
  <c r="W199" i="2" s="1"/>
  <c r="V187" i="2"/>
  <c r="W188" i="2"/>
  <c r="W187" i="2" s="1"/>
  <c r="V190" i="2"/>
  <c r="W191" i="2"/>
  <c r="W190" i="2" s="1"/>
  <c r="V181" i="2"/>
  <c r="W182" i="2"/>
  <c r="W181" i="2" s="1"/>
  <c r="W202" i="2"/>
  <c r="V184" i="2"/>
  <c r="W185" i="2"/>
  <c r="W184" i="2" s="1"/>
  <c r="V271" i="2"/>
  <c r="W272" i="2"/>
  <c r="W271" i="2" s="1"/>
  <c r="V193" i="2"/>
  <c r="W194" i="2"/>
  <c r="W193" i="2" s="1"/>
  <c r="V180" i="2" l="1"/>
  <c r="W180" i="2" s="1"/>
  <c r="AC180" i="2"/>
  <c r="V179" i="2"/>
  <c r="W179" i="2" s="1"/>
  <c r="AC179" i="2"/>
  <c r="AC178" i="2"/>
  <c r="V177" i="2"/>
  <c r="W177" i="2" s="1"/>
  <c r="AC177" i="2"/>
  <c r="AC176" i="2"/>
  <c r="AC175" i="2"/>
  <c r="V174" i="2"/>
  <c r="W174" i="2" s="1"/>
  <c r="AC174" i="2"/>
  <c r="V173" i="2"/>
  <c r="W173" i="2" s="1"/>
  <c r="AC173" i="2"/>
  <c r="AC172" i="2"/>
  <c r="V171" i="2"/>
  <c r="W171" i="2" s="1"/>
  <c r="AC171" i="2"/>
  <c r="AC170" i="2"/>
  <c r="AC169" i="2"/>
  <c r="V168" i="2"/>
  <c r="W168" i="2" s="1"/>
  <c r="AC168" i="2"/>
  <c r="V167" i="2"/>
  <c r="W167" i="2" s="1"/>
  <c r="AC167" i="2"/>
  <c r="AC166" i="2"/>
  <c r="V165" i="2"/>
  <c r="W165" i="2" s="1"/>
  <c r="AC165" i="2"/>
  <c r="V164" i="2"/>
  <c r="W164" i="2" s="1"/>
  <c r="AC164" i="2"/>
  <c r="AC163" i="2"/>
  <c r="V162" i="2"/>
  <c r="W162" i="2" s="1"/>
  <c r="AC162" i="2"/>
  <c r="V161" i="2"/>
  <c r="W161" i="2" s="1"/>
  <c r="AC161" i="2"/>
  <c r="AC160" i="2"/>
  <c r="V159" i="2"/>
  <c r="W159" i="2" s="1"/>
  <c r="AC159" i="2"/>
  <c r="V158" i="2"/>
  <c r="W158" i="2" s="1"/>
  <c r="AC158" i="2"/>
  <c r="AC157" i="2"/>
  <c r="V156" i="2"/>
  <c r="W156" i="2" s="1"/>
  <c r="AC156" i="2"/>
  <c r="V155" i="2"/>
  <c r="W155" i="2" s="1"/>
  <c r="AC155" i="2"/>
  <c r="AC154" i="2"/>
  <c r="V153" i="2"/>
  <c r="W153" i="2" s="1"/>
  <c r="AC153" i="2"/>
  <c r="V152" i="2"/>
  <c r="W152" i="2" s="1"/>
  <c r="AC152" i="2"/>
  <c r="AC151" i="2"/>
  <c r="V150" i="2"/>
  <c r="AC150" i="2"/>
  <c r="V149" i="2"/>
  <c r="W149" i="2" s="1"/>
  <c r="AC149" i="2"/>
  <c r="AC148" i="2"/>
  <c r="V147" i="2"/>
  <c r="W147" i="2" s="1"/>
  <c r="AC147" i="2"/>
  <c r="V146" i="2"/>
  <c r="W146" i="2" s="1"/>
  <c r="AC146" i="2"/>
  <c r="AC145" i="2"/>
  <c r="V144" i="2"/>
  <c r="W144" i="2" s="1"/>
  <c r="AC144" i="2"/>
  <c r="V143" i="2"/>
  <c r="W143" i="2" s="1"/>
  <c r="AC143" i="2"/>
  <c r="AC142" i="2"/>
  <c r="V141" i="2"/>
  <c r="W141" i="2" s="1"/>
  <c r="AC141" i="2"/>
  <c r="V140" i="2"/>
  <c r="W140" i="2" s="1"/>
  <c r="AC140" i="2"/>
  <c r="AC139" i="2"/>
  <c r="V138" i="2"/>
  <c r="W138" i="2" s="1"/>
  <c r="AC138" i="2"/>
  <c r="V137" i="2"/>
  <c r="AC137" i="2"/>
  <c r="AC136" i="2"/>
  <c r="V135" i="2"/>
  <c r="W135" i="2" s="1"/>
  <c r="AC135" i="2"/>
  <c r="V134" i="2"/>
  <c r="W134" i="2" s="1"/>
  <c r="AC134" i="2"/>
  <c r="AC133" i="2"/>
  <c r="V132" i="2"/>
  <c r="W132" i="2" s="1"/>
  <c r="AC132" i="2"/>
  <c r="V131" i="2"/>
  <c r="AC131" i="2"/>
  <c r="AC130" i="2"/>
  <c r="V129" i="2"/>
  <c r="W129" i="2" s="1"/>
  <c r="AC129" i="2"/>
  <c r="V128" i="2"/>
  <c r="AC128" i="2"/>
  <c r="AC127" i="2"/>
  <c r="V126" i="2"/>
  <c r="W126" i="2" s="1"/>
  <c r="AC126" i="2"/>
  <c r="V125" i="2"/>
  <c r="AC125" i="2"/>
  <c r="AC124" i="2"/>
  <c r="V123" i="2"/>
  <c r="W123" i="2" s="1"/>
  <c r="AC123" i="2"/>
  <c r="V122" i="2"/>
  <c r="W122" i="2" s="1"/>
  <c r="AC122" i="2"/>
  <c r="AC121" i="2"/>
  <c r="V120" i="2"/>
  <c r="W120" i="2" s="1"/>
  <c r="AC120" i="2"/>
  <c r="V119" i="2"/>
  <c r="W119" i="2" s="1"/>
  <c r="AC119" i="2"/>
  <c r="AC118" i="2"/>
  <c r="V117" i="2"/>
  <c r="W117" i="2" s="1"/>
  <c r="AC117" i="2"/>
  <c r="V116" i="2"/>
  <c r="W116" i="2" s="1"/>
  <c r="AC116" i="2"/>
  <c r="AC115" i="2"/>
  <c r="V114" i="2"/>
  <c r="W114" i="2" s="1"/>
  <c r="AC114" i="2"/>
  <c r="V113" i="2"/>
  <c r="W113" i="2" s="1"/>
  <c r="AC113" i="2"/>
  <c r="AC112" i="2"/>
  <c r="V111" i="2"/>
  <c r="W111" i="2" s="1"/>
  <c r="AC111" i="2"/>
  <c r="V110" i="2"/>
  <c r="AC110" i="2"/>
  <c r="AC109" i="2"/>
  <c r="V108" i="2"/>
  <c r="W108" i="2" s="1"/>
  <c r="AC108" i="2"/>
  <c r="V107" i="2"/>
  <c r="W107" i="2" s="1"/>
  <c r="AC107" i="2"/>
  <c r="AC106" i="2"/>
  <c r="V105" i="2"/>
  <c r="W105" i="2" s="1"/>
  <c r="AC105" i="2"/>
  <c r="V104" i="2"/>
  <c r="AC104" i="2"/>
  <c r="AC103" i="2"/>
  <c r="V102" i="2"/>
  <c r="W102" i="2" s="1"/>
  <c r="AC102" i="2"/>
  <c r="V101" i="2"/>
  <c r="W101" i="2" s="1"/>
  <c r="AC101" i="2"/>
  <c r="AC100" i="2"/>
  <c r="V99" i="2"/>
  <c r="W99" i="2" s="1"/>
  <c r="AC99" i="2"/>
  <c r="V98" i="2"/>
  <c r="AC98" i="2"/>
  <c r="AC97" i="2"/>
  <c r="V96" i="2"/>
  <c r="W96" i="2" s="1"/>
  <c r="AC96" i="2"/>
  <c r="V95" i="2"/>
  <c r="W95" i="2" s="1"/>
  <c r="AC95" i="2"/>
  <c r="AC94" i="2"/>
  <c r="V93" i="2"/>
  <c r="W93" i="2" s="1"/>
  <c r="AC93" i="2"/>
  <c r="V92" i="2"/>
  <c r="W92" i="2" s="1"/>
  <c r="AC92" i="2"/>
  <c r="AC91" i="2"/>
  <c r="V90" i="2"/>
  <c r="W90" i="2" s="1"/>
  <c r="AC90" i="2"/>
  <c r="V89" i="2"/>
  <c r="AC89" i="2"/>
  <c r="AC88" i="2"/>
  <c r="V87" i="2"/>
  <c r="W87" i="2" s="1"/>
  <c r="AC87" i="2"/>
  <c r="V86" i="2"/>
  <c r="AC86" i="2"/>
  <c r="AC85" i="2"/>
  <c r="V84" i="2"/>
  <c r="W84" i="2" s="1"/>
  <c r="AC84" i="2"/>
  <c r="V83" i="2"/>
  <c r="W83" i="2" s="1"/>
  <c r="AC83" i="2"/>
  <c r="AC82" i="2"/>
  <c r="V81" i="2"/>
  <c r="W81" i="2" s="1"/>
  <c r="AC81" i="2"/>
  <c r="V80" i="2"/>
  <c r="W80" i="2" s="1"/>
  <c r="AC80" i="2"/>
  <c r="AC79" i="2"/>
  <c r="V78" i="2"/>
  <c r="W78" i="2" s="1"/>
  <c r="AC78" i="2"/>
  <c r="V77" i="2"/>
  <c r="W77" i="2" s="1"/>
  <c r="AC77" i="2"/>
  <c r="AC76" i="2"/>
  <c r="V75" i="2"/>
  <c r="W75" i="2" s="1"/>
  <c r="AC75" i="2"/>
  <c r="V74" i="2"/>
  <c r="W74" i="2" s="1"/>
  <c r="AC74" i="2"/>
  <c r="AC73" i="2"/>
  <c r="V72" i="2"/>
  <c r="W72" i="2" s="1"/>
  <c r="AC72" i="2"/>
  <c r="V71" i="2"/>
  <c r="AC71" i="2"/>
  <c r="AC70" i="2"/>
  <c r="V69" i="2"/>
  <c r="W69" i="2" s="1"/>
  <c r="AC69" i="2"/>
  <c r="V68" i="2"/>
  <c r="W68" i="2" s="1"/>
  <c r="AC68" i="2"/>
  <c r="AC67" i="2"/>
  <c r="V66" i="2"/>
  <c r="W66" i="2" s="1"/>
  <c r="AC66" i="2"/>
  <c r="V65" i="2"/>
  <c r="W65" i="2" s="1"/>
  <c r="AC65" i="2"/>
  <c r="AC64" i="2"/>
  <c r="V63" i="2"/>
  <c r="W63" i="2" s="1"/>
  <c r="AC63" i="2"/>
  <c r="V62" i="2"/>
  <c r="AC62" i="2"/>
  <c r="AC61" i="2"/>
  <c r="V60" i="2"/>
  <c r="W60" i="2" s="1"/>
  <c r="AC60" i="2"/>
  <c r="V59" i="2"/>
  <c r="W59" i="2" s="1"/>
  <c r="AC59" i="2"/>
  <c r="AC58" i="2"/>
  <c r="V57" i="2"/>
  <c r="W57" i="2" s="1"/>
  <c r="AC57" i="2"/>
  <c r="V56" i="2"/>
  <c r="W56" i="2" s="1"/>
  <c r="AC56" i="2"/>
  <c r="AC55" i="2"/>
  <c r="V54" i="2"/>
  <c r="W54" i="2" s="1"/>
  <c r="AC54" i="2"/>
  <c r="V53" i="2"/>
  <c r="W53" i="2" s="1"/>
  <c r="AC53" i="2"/>
  <c r="AC52" i="2"/>
  <c r="V51" i="2"/>
  <c r="W51" i="2" s="1"/>
  <c r="AC51" i="2"/>
  <c r="V50" i="2"/>
  <c r="W50" i="2" s="1"/>
  <c r="AC50" i="2"/>
  <c r="AC49" i="2"/>
  <c r="V48" i="2"/>
  <c r="W48" i="2" s="1"/>
  <c r="AC48" i="2"/>
  <c r="V47" i="2"/>
  <c r="W47" i="2" s="1"/>
  <c r="AC47" i="2"/>
  <c r="AC46" i="2"/>
  <c r="V45" i="2"/>
  <c r="W45" i="2" s="1"/>
  <c r="AC45" i="2"/>
  <c r="V44" i="2"/>
  <c r="AC44" i="2"/>
  <c r="AC43" i="2"/>
  <c r="V42" i="2"/>
  <c r="W42" i="2" s="1"/>
  <c r="AC42" i="2"/>
  <c r="V41" i="2"/>
  <c r="W41" i="2" s="1"/>
  <c r="AC41" i="2"/>
  <c r="AC40" i="2"/>
  <c r="V39" i="2"/>
  <c r="W39" i="2" s="1"/>
  <c r="AC39" i="2"/>
  <c r="V38" i="2"/>
  <c r="W38" i="2" s="1"/>
  <c r="AC38" i="2"/>
  <c r="AC37" i="2"/>
  <c r="V36" i="2"/>
  <c r="W36" i="2" s="1"/>
  <c r="AC36" i="2"/>
  <c r="V35" i="2"/>
  <c r="W35" i="2" s="1"/>
  <c r="AC35" i="2"/>
  <c r="AC34" i="2"/>
  <c r="V33" i="2"/>
  <c r="W33" i="2" s="1"/>
  <c r="AC33" i="2"/>
  <c r="V32" i="2"/>
  <c r="AC32" i="2"/>
  <c r="AC31" i="2"/>
  <c r="V30" i="2"/>
  <c r="W30" i="2" s="1"/>
  <c r="AC30" i="2"/>
  <c r="V29" i="2"/>
  <c r="W29" i="2" s="1"/>
  <c r="AC29" i="2"/>
  <c r="AC28" i="2"/>
  <c r="V27" i="2"/>
  <c r="W27" i="2" s="1"/>
  <c r="AC27" i="2"/>
  <c r="V26" i="2"/>
  <c r="W26" i="2" s="1"/>
  <c r="AC26" i="2"/>
  <c r="AC25" i="2"/>
  <c r="V24" i="2"/>
  <c r="W24" i="2" s="1"/>
  <c r="AC24" i="2"/>
  <c r="V23" i="2"/>
  <c r="AC23" i="2"/>
  <c r="AC22" i="2"/>
  <c r="V21" i="2"/>
  <c r="W21" i="2" s="1"/>
  <c r="AC21" i="2"/>
  <c r="V20" i="2"/>
  <c r="AC20" i="2"/>
  <c r="AC19" i="2"/>
  <c r="V18" i="2"/>
  <c r="W18" i="2" s="1"/>
  <c r="AC18" i="2"/>
  <c r="V17" i="2"/>
  <c r="W17" i="2" s="1"/>
  <c r="AC17" i="2"/>
  <c r="AC16" i="2"/>
  <c r="V15" i="2"/>
  <c r="W15" i="2" s="1"/>
  <c r="AC15" i="2"/>
  <c r="V14" i="2"/>
  <c r="W14" i="2" s="1"/>
  <c r="AC14" i="2"/>
  <c r="AC13" i="2"/>
  <c r="V12" i="2"/>
  <c r="W12" i="2" s="1"/>
  <c r="AC12" i="2"/>
  <c r="V11" i="2"/>
  <c r="W11" i="2" s="1"/>
  <c r="AC11" i="2"/>
  <c r="AC10" i="2"/>
  <c r="V9" i="2"/>
  <c r="W9" i="2" s="1"/>
  <c r="AC9" i="2"/>
  <c r="V8" i="2"/>
  <c r="W8" i="2" s="1"/>
  <c r="AC8" i="2"/>
  <c r="AC7" i="2"/>
  <c r="V6" i="2"/>
  <c r="AC6" i="2"/>
  <c r="V5" i="2"/>
  <c r="W5" i="2" s="1"/>
  <c r="AC5" i="2"/>
  <c r="AC4" i="2"/>
  <c r="F3" i="3"/>
  <c r="H3" i="3"/>
  <c r="L3" i="3"/>
  <c r="L10" i="3"/>
  <c r="L24" i="3"/>
  <c r="Q24" i="3"/>
  <c r="N3" i="3"/>
  <c r="O3" i="3"/>
  <c r="P3" i="3"/>
  <c r="Q3" i="3"/>
  <c r="R3" i="3"/>
  <c r="S3" i="3"/>
  <c r="T3" i="3"/>
  <c r="U3" i="3"/>
  <c r="C5" i="3"/>
  <c r="C6" i="3"/>
  <c r="L9" i="3"/>
  <c r="L20" i="3"/>
  <c r="L12" i="3"/>
  <c r="L16" i="3"/>
  <c r="Q16" i="3"/>
  <c r="C18" i="3"/>
  <c r="L25" i="3"/>
  <c r="L26" i="3"/>
  <c r="L28" i="3"/>
  <c r="D29" i="3"/>
  <c r="D31" i="3"/>
  <c r="D33" i="3"/>
  <c r="V176" i="2"/>
  <c r="W176" i="2" s="1"/>
  <c r="V170" i="2"/>
  <c r="W170" i="2" s="1"/>
  <c r="L29" i="3"/>
  <c r="L30" i="3"/>
  <c r="Q26" i="3"/>
  <c r="Z9" i="3"/>
  <c r="Z15" i="3"/>
  <c r="Z11" i="3"/>
  <c r="Z16" i="3"/>
  <c r="Z10" i="3"/>
  <c r="Z17" i="3"/>
  <c r="Q25" i="3"/>
  <c r="Q9" i="3"/>
  <c r="Q20" i="3"/>
  <c r="X3" i="3"/>
  <c r="Z12" i="3"/>
  <c r="Q11" i="3"/>
  <c r="Q10" i="3"/>
  <c r="Q17" i="3"/>
  <c r="L17" i="3"/>
  <c r="Z18" i="3"/>
  <c r="Q18" i="3"/>
  <c r="L18" i="3"/>
  <c r="L11" i="3"/>
  <c r="L21" i="3"/>
  <c r="Q21" i="3"/>
  <c r="V31" i="2" l="1"/>
  <c r="V175" i="2"/>
  <c r="V157" i="2"/>
  <c r="V154" i="2"/>
  <c r="V142" i="2"/>
  <c r="V4" i="2"/>
  <c r="V70" i="2"/>
  <c r="V112" i="2"/>
  <c r="V100" i="2"/>
  <c r="W67" i="2"/>
  <c r="V22" i="2"/>
  <c r="W139" i="2"/>
  <c r="W32" i="2"/>
  <c r="W31" i="2" s="1"/>
  <c r="V115" i="2"/>
  <c r="V13" i="2"/>
  <c r="V7" i="2"/>
  <c r="V109" i="2"/>
  <c r="V148" i="2"/>
  <c r="V124" i="2"/>
  <c r="W142" i="2"/>
  <c r="W46" i="2"/>
  <c r="W115" i="2"/>
  <c r="V127" i="2"/>
  <c r="V85" i="2"/>
  <c r="W100" i="2"/>
  <c r="W125" i="2"/>
  <c r="W124" i="2" s="1"/>
  <c r="V73" i="2"/>
  <c r="W110" i="2"/>
  <c r="W109" i="2" s="1"/>
  <c r="V166" i="2"/>
  <c r="W23" i="2"/>
  <c r="W22" i="2" s="1"/>
  <c r="V28" i="2"/>
  <c r="W34" i="2"/>
  <c r="V46" i="2"/>
  <c r="V61" i="2"/>
  <c r="W166" i="2"/>
  <c r="W172" i="2"/>
  <c r="W79" i="2"/>
  <c r="W58" i="2"/>
  <c r="V55" i="2"/>
  <c r="W52" i="2"/>
  <c r="V58" i="2"/>
  <c r="V25" i="2"/>
  <c r="V19" i="2"/>
  <c r="V52" i="2"/>
  <c r="V172" i="2"/>
  <c r="W150" i="2"/>
  <c r="W148" i="2" s="1"/>
  <c r="V163" i="2"/>
  <c r="W82" i="2"/>
  <c r="V88" i="2"/>
  <c r="V169" i="2"/>
  <c r="W175" i="2"/>
  <c r="W160" i="2"/>
  <c r="V40" i="2"/>
  <c r="V76" i="2"/>
  <c r="W112" i="2"/>
  <c r="V49" i="2"/>
  <c r="W62" i="2"/>
  <c r="W61" i="2" s="1"/>
  <c r="W55" i="2"/>
  <c r="W40" i="2"/>
  <c r="V97" i="2"/>
  <c r="V136" i="2"/>
  <c r="W145" i="2"/>
  <c r="W151" i="2"/>
  <c r="W169" i="2"/>
  <c r="W10" i="2"/>
  <c r="V106" i="2"/>
  <c r="V94" i="2"/>
  <c r="V145" i="2"/>
  <c r="V160" i="2"/>
  <c r="W7" i="2"/>
  <c r="V10" i="2"/>
  <c r="W16" i="2"/>
  <c r="W28" i="2"/>
  <c r="V43" i="2"/>
  <c r="V67" i="2"/>
  <c r="V82" i="2"/>
  <c r="W94" i="2"/>
  <c r="W106" i="2"/>
  <c r="W121" i="2"/>
  <c r="W133" i="2"/>
  <c r="W178" i="2"/>
  <c r="W49" i="2"/>
  <c r="W64" i="2"/>
  <c r="W76" i="2"/>
  <c r="W91" i="2"/>
  <c r="V79" i="2"/>
  <c r="V121" i="2"/>
  <c r="W118" i="2"/>
  <c r="W6" i="2"/>
  <c r="W4" i="2" s="1"/>
  <c r="W13" i="2"/>
  <c r="V16" i="2"/>
  <c r="W25" i="2"/>
  <c r="W37" i="2"/>
  <c r="V64" i="2"/>
  <c r="V91" i="2"/>
  <c r="V103" i="2"/>
  <c r="V118" i="2"/>
  <c r="V130" i="2"/>
  <c r="V139" i="2"/>
  <c r="W154" i="2"/>
  <c r="W157" i="2"/>
  <c r="W163" i="2"/>
  <c r="W73" i="2"/>
  <c r="W44" i="2"/>
  <c r="W43" i="2" s="1"/>
  <c r="V34" i="2"/>
  <c r="W131" i="2"/>
  <c r="W130" i="2" s="1"/>
  <c r="W98" i="2"/>
  <c r="W97" i="2" s="1"/>
  <c r="W89" i="2"/>
  <c r="W88" i="2" s="1"/>
  <c r="W104" i="2"/>
  <c r="W103" i="2" s="1"/>
  <c r="V133" i="2"/>
  <c r="W20" i="2"/>
  <c r="W19" i="2" s="1"/>
  <c r="V37" i="2"/>
  <c r="W128" i="2"/>
  <c r="W127" i="2" s="1"/>
  <c r="V151" i="2"/>
  <c r="V178" i="2"/>
  <c r="W71" i="2"/>
  <c r="W70" i="2" s="1"/>
  <c r="W86" i="2"/>
  <c r="W85" i="2" s="1"/>
  <c r="W137" i="2"/>
  <c r="W136" i="2" s="1"/>
</calcChain>
</file>

<file path=xl/sharedStrings.xml><?xml version="1.0" encoding="utf-8"?>
<sst xmlns="http://schemas.openxmlformats.org/spreadsheetml/2006/main" count="6439" uniqueCount="126">
  <si>
    <t>DON'T MODIFY THIS SHEET</t>
  </si>
  <si>
    <t>Point</t>
  </si>
  <si>
    <t>Comments</t>
  </si>
  <si>
    <t>Run#</t>
  </si>
  <si>
    <t>Q       (InH20)</t>
  </si>
  <si>
    <t>Q       PSF</t>
  </si>
  <si>
    <t>Rider</t>
  </si>
  <si>
    <t>YAW</t>
  </si>
  <si>
    <r>
      <t>Wind Axis</t>
    </r>
    <r>
      <rPr>
        <sz val="12"/>
        <color indexed="9"/>
        <rFont val="Arial"/>
        <family val="2"/>
      </rPr>
      <t xml:space="preserve"> C</t>
    </r>
    <r>
      <rPr>
        <vertAlign val="subscript"/>
        <sz val="12"/>
        <color indexed="9"/>
        <rFont val="Arial"/>
        <family val="2"/>
      </rPr>
      <t>D</t>
    </r>
    <r>
      <rPr>
        <sz val="12"/>
        <color indexed="9"/>
        <rFont val="Arial"/>
        <family val="2"/>
      </rPr>
      <t>A</t>
    </r>
  </si>
  <si>
    <r>
      <t xml:space="preserve">Body Axis </t>
    </r>
    <r>
      <rPr>
        <sz val="12"/>
        <color indexed="9"/>
        <rFont val="Arial"/>
        <family val="2"/>
      </rPr>
      <t xml:space="preserve">   C</t>
    </r>
    <r>
      <rPr>
        <vertAlign val="subscript"/>
        <sz val="12"/>
        <color indexed="9"/>
        <rFont val="Arial"/>
        <family val="2"/>
      </rPr>
      <t>D</t>
    </r>
    <r>
      <rPr>
        <sz val="12"/>
        <color indexed="9"/>
        <rFont val="Arial"/>
        <family val="2"/>
      </rPr>
      <t>A</t>
    </r>
    <r>
      <rPr>
        <sz val="10"/>
        <color indexed="9"/>
        <rFont val="Arial"/>
        <family val="2"/>
      </rPr>
      <t xml:space="preserve"> </t>
    </r>
  </si>
  <si>
    <r>
      <t xml:space="preserve">Body Axis  </t>
    </r>
    <r>
      <rPr>
        <sz val="12"/>
        <color indexed="9"/>
        <rFont val="Arial"/>
        <family val="2"/>
      </rPr>
      <t xml:space="preserve">  C</t>
    </r>
    <r>
      <rPr>
        <vertAlign val="subscript"/>
        <sz val="12"/>
        <color indexed="9"/>
        <rFont val="Arial"/>
        <family val="2"/>
      </rPr>
      <t>D</t>
    </r>
  </si>
  <si>
    <t>Body Axis Drag grams</t>
  </si>
  <si>
    <t>RIDER SPEED</t>
  </si>
  <si>
    <t>RIDER WATTS</t>
  </si>
  <si>
    <t>at 30 mph</t>
  </si>
  <si>
    <r>
      <t xml:space="preserve">Wind Axis   </t>
    </r>
    <r>
      <rPr>
        <sz val="12"/>
        <color indexed="9"/>
        <rFont val="Arial"/>
        <family val="2"/>
      </rPr>
      <t xml:space="preserve"> C</t>
    </r>
    <r>
      <rPr>
        <vertAlign val="subscript"/>
        <sz val="12"/>
        <color indexed="9"/>
        <rFont val="Arial"/>
        <family val="2"/>
      </rPr>
      <t>D</t>
    </r>
  </si>
  <si>
    <r>
      <t xml:space="preserve">Wind Axis   </t>
    </r>
    <r>
      <rPr>
        <sz val="12"/>
        <color indexed="9"/>
        <rFont val="Arial"/>
        <family val="2"/>
      </rPr>
      <t xml:space="preserve"> C</t>
    </r>
    <r>
      <rPr>
        <vertAlign val="subscript"/>
        <sz val="12"/>
        <color indexed="9"/>
        <rFont val="Arial"/>
        <family val="2"/>
      </rPr>
      <t>S</t>
    </r>
  </si>
  <si>
    <r>
      <t>Wind Axis</t>
    </r>
    <r>
      <rPr>
        <sz val="12"/>
        <color indexed="9"/>
        <rFont val="Arial"/>
        <family val="2"/>
      </rPr>
      <t xml:space="preserve"> C</t>
    </r>
    <r>
      <rPr>
        <vertAlign val="subscript"/>
        <sz val="12"/>
        <color indexed="9"/>
        <rFont val="Arial"/>
        <family val="2"/>
      </rPr>
      <t>S</t>
    </r>
    <r>
      <rPr>
        <sz val="12"/>
        <color indexed="9"/>
        <rFont val="Arial"/>
        <family val="2"/>
      </rPr>
      <t>A</t>
    </r>
  </si>
  <si>
    <t>RAW Drag Grams</t>
  </si>
  <si>
    <t>RAW Side F Grams</t>
  </si>
  <si>
    <t>RAW Side R Grams</t>
  </si>
  <si>
    <r>
      <t xml:space="preserve">Body Axis  </t>
    </r>
    <r>
      <rPr>
        <sz val="12"/>
        <color indexed="9"/>
        <rFont val="Arial"/>
        <family val="2"/>
      </rPr>
      <t xml:space="preserve">  C</t>
    </r>
    <r>
      <rPr>
        <vertAlign val="subscript"/>
        <sz val="12"/>
        <color indexed="9"/>
        <rFont val="Arial"/>
        <family val="2"/>
      </rPr>
      <t>S</t>
    </r>
  </si>
  <si>
    <r>
      <t xml:space="preserve">Body Axis </t>
    </r>
    <r>
      <rPr>
        <sz val="12"/>
        <color indexed="9"/>
        <rFont val="Arial"/>
        <family val="2"/>
      </rPr>
      <t xml:space="preserve">   C</t>
    </r>
    <r>
      <rPr>
        <vertAlign val="subscript"/>
        <sz val="12"/>
        <color indexed="9"/>
        <rFont val="Arial"/>
        <family val="2"/>
      </rPr>
      <t>S</t>
    </r>
    <r>
      <rPr>
        <sz val="12"/>
        <color indexed="9"/>
        <rFont val="Arial"/>
        <family val="2"/>
      </rPr>
      <t>A</t>
    </r>
    <r>
      <rPr>
        <sz val="10"/>
        <color indexed="9"/>
        <rFont val="Arial"/>
        <family val="2"/>
      </rPr>
      <t xml:space="preserve"> </t>
    </r>
  </si>
  <si>
    <t>Body Axis    Side F grams</t>
  </si>
  <si>
    <t>Tunnel  Test  Speed     ( MPH )</t>
  </si>
  <si>
    <t>For A2 operator only</t>
  </si>
  <si>
    <t>nominal</t>
  </si>
  <si>
    <t>mph</t>
  </si>
  <si>
    <t>Body Axis Aero  Watts</t>
  </si>
  <si>
    <t>WHEEL ONLY</t>
  </si>
  <si>
    <t>BIKE</t>
  </si>
  <si>
    <t>INVALID   IGNORE</t>
  </si>
  <si>
    <r>
      <t>Body Axis C</t>
    </r>
    <r>
      <rPr>
        <vertAlign val="subscript"/>
        <sz val="1"/>
        <color indexed="10"/>
        <rFont val="Arial"/>
        <family val="2"/>
      </rPr>
      <t>o</t>
    </r>
    <r>
      <rPr>
        <sz val="1"/>
        <color indexed="10"/>
        <rFont val="Arial"/>
        <family val="2"/>
      </rPr>
      <t>P fwd of ctr</t>
    </r>
  </si>
  <si>
    <r>
      <t>Body Axis C</t>
    </r>
    <r>
      <rPr>
        <vertAlign val="subscript"/>
        <sz val="1"/>
        <color indexed="10"/>
        <rFont val="Arial"/>
        <family val="2"/>
      </rPr>
      <t>O</t>
    </r>
    <r>
      <rPr>
        <sz val="1"/>
        <color indexed="10"/>
        <rFont val="Arial"/>
        <family val="2"/>
      </rPr>
      <t>P fwd of rr axle</t>
    </r>
  </si>
  <si>
    <t xml:space="preserve">Ref A = </t>
  </si>
  <si>
    <t>Bar =</t>
  </si>
  <si>
    <t>Tnl Tmp=</t>
  </si>
  <si>
    <t>ENTER SPEED</t>
  </si>
  <si>
    <t>INPUTS: RED (STANDARD)</t>
  </si>
  <si>
    <t>METRIC CALCULATED</t>
  </si>
  <si>
    <t>Mass Rider   lbs</t>
  </si>
  <si>
    <t>Mass Bike   lbs</t>
  </si>
  <si>
    <t>Mass Total   lbs</t>
  </si>
  <si>
    <t>Speed       mph</t>
  </si>
  <si>
    <t>Speed       ft/sec</t>
  </si>
  <si>
    <t>Distance  miles</t>
  </si>
  <si>
    <t>Pressure    InHg</t>
  </si>
  <si>
    <t>Mass Rider   kg</t>
  </si>
  <si>
    <t>Mass Bike   kg</t>
  </si>
  <si>
    <t>Total Mass  kg</t>
  </si>
  <si>
    <t>Speed         kph</t>
  </si>
  <si>
    <t>Speed       m/sec</t>
  </si>
  <si>
    <t>Distance     km</t>
  </si>
  <si>
    <t>Pressure    kPa</t>
  </si>
  <si>
    <t>Normalized to Standard NACA day</t>
  </si>
  <si>
    <t>Drag (lbs) =</t>
  </si>
  <si>
    <t>Drag (grams) =</t>
  </si>
  <si>
    <t>AeroPower (W) =</t>
  </si>
  <si>
    <t>Aero-HP =</t>
  </si>
  <si>
    <t>Aero-Watts =</t>
  </si>
  <si>
    <t>RollingResistance (W) =</t>
  </si>
  <si>
    <t>Est. Total HP =</t>
  </si>
  <si>
    <t>Est. Total Watts =</t>
  </si>
  <si>
    <t>BearingResitance (W) =</t>
  </si>
  <si>
    <t>CHECK =</t>
  </si>
  <si>
    <t>Estimated Total (W) =</t>
  </si>
  <si>
    <t>Input MPH</t>
  </si>
  <si>
    <t>KPH</t>
  </si>
  <si>
    <t>CONSTANT SPEED==&gt;</t>
  </si>
  <si>
    <t>CONSTANT POWER==&gt;</t>
  </si>
  <si>
    <t>Velocity A. (mph) =</t>
  </si>
  <si>
    <t>Velocity A. (kph) =</t>
  </si>
  <si>
    <t>Velocity B. (mph) =</t>
  </si>
  <si>
    <t>Velocity B. (kph) =</t>
  </si>
  <si>
    <t>Input</t>
  </si>
  <si>
    <t>OutPut</t>
  </si>
  <si>
    <t>Total Time (min) A =</t>
  </si>
  <si>
    <t>Kilometer =</t>
  </si>
  <si>
    <t>Total Time (min) B =</t>
  </si>
  <si>
    <t>Kilograms =</t>
  </si>
  <si>
    <t>KPH =</t>
  </si>
  <si>
    <t>HP = ((Cd*A*1/2*rho*V^3)/550) + (mass*(Crr+Cbr)*V/550)</t>
  </si>
  <si>
    <r>
      <t xml:space="preserve">A.  </t>
    </r>
    <r>
      <rPr>
        <sz val="9"/>
        <color indexed="9"/>
        <rFont val="Sylfaen"/>
        <family val="1"/>
      </rPr>
      <t xml:space="preserve">           </t>
    </r>
    <r>
      <rPr>
        <sz val="12"/>
        <color indexed="9"/>
        <rFont val="Sylfaen"/>
        <family val="1"/>
      </rPr>
      <t>C</t>
    </r>
    <r>
      <rPr>
        <vertAlign val="subscript"/>
        <sz val="14"/>
        <color indexed="9"/>
        <rFont val="Sylfaen"/>
        <family val="1"/>
      </rPr>
      <t>D</t>
    </r>
    <r>
      <rPr>
        <sz val="12"/>
        <color indexed="9"/>
        <rFont val="Sylfaen"/>
        <family val="1"/>
      </rPr>
      <t>A ft</t>
    </r>
    <r>
      <rPr>
        <vertAlign val="superscript"/>
        <sz val="14"/>
        <color indexed="9"/>
        <rFont val="Sylfaen"/>
        <family val="1"/>
      </rPr>
      <t>2</t>
    </r>
  </si>
  <si>
    <r>
      <t xml:space="preserve">B.  </t>
    </r>
    <r>
      <rPr>
        <sz val="9"/>
        <color indexed="9"/>
        <rFont val="Sylfaen"/>
        <family val="1"/>
      </rPr>
      <t xml:space="preserve">           </t>
    </r>
    <r>
      <rPr>
        <sz val="12"/>
        <color indexed="9"/>
        <rFont val="Sylfaen"/>
        <family val="1"/>
      </rPr>
      <t>C</t>
    </r>
    <r>
      <rPr>
        <vertAlign val="subscript"/>
        <sz val="14"/>
        <color indexed="9"/>
        <rFont val="Sylfaen"/>
        <family val="1"/>
      </rPr>
      <t>D</t>
    </r>
    <r>
      <rPr>
        <sz val="12"/>
        <color indexed="9"/>
        <rFont val="Sylfaen"/>
        <family val="1"/>
      </rPr>
      <t>A ft</t>
    </r>
    <r>
      <rPr>
        <vertAlign val="superscript"/>
        <sz val="14"/>
        <color indexed="9"/>
        <rFont val="Sylfaen"/>
        <family val="1"/>
      </rPr>
      <t>2</t>
    </r>
  </si>
  <si>
    <r>
      <t xml:space="preserve">Density </t>
    </r>
    <r>
      <rPr>
        <sz val="12"/>
        <color indexed="9"/>
        <rFont val="Sylfaen"/>
        <family val="1"/>
      </rPr>
      <t xml:space="preserve"> </t>
    </r>
    <r>
      <rPr>
        <sz val="11"/>
        <color indexed="9"/>
        <rFont val="Sylfaen"/>
        <family val="1"/>
      </rPr>
      <t xml:space="preserve">       </t>
    </r>
    <r>
      <rPr>
        <sz val="10"/>
        <color indexed="9"/>
        <rFont val="Sylfaen"/>
        <family val="1"/>
      </rPr>
      <t>slugs/ft</t>
    </r>
    <r>
      <rPr>
        <vertAlign val="superscript"/>
        <sz val="11"/>
        <color indexed="9"/>
        <rFont val="Sylfaen"/>
        <family val="1"/>
      </rPr>
      <t>3</t>
    </r>
  </si>
  <si>
    <r>
      <t xml:space="preserve">q   </t>
    </r>
    <r>
      <rPr>
        <sz val="11"/>
        <color indexed="9"/>
        <rFont val="Sylfaen"/>
        <family val="1"/>
      </rPr>
      <t xml:space="preserve">          lbs/ft</t>
    </r>
    <r>
      <rPr>
        <vertAlign val="superscript"/>
        <sz val="12"/>
        <color indexed="9"/>
        <rFont val="Sylfaen"/>
        <family val="1"/>
      </rPr>
      <t>2</t>
    </r>
  </si>
  <si>
    <r>
      <t xml:space="preserve">A.                </t>
    </r>
    <r>
      <rPr>
        <sz val="12"/>
        <rFont val="Sylfaen"/>
        <family val="1"/>
      </rPr>
      <t>C</t>
    </r>
    <r>
      <rPr>
        <vertAlign val="subscript"/>
        <sz val="14"/>
        <rFont val="Sylfaen"/>
        <family val="1"/>
      </rPr>
      <t>D</t>
    </r>
    <r>
      <rPr>
        <sz val="12"/>
        <rFont val="Sylfaen"/>
        <family val="1"/>
      </rPr>
      <t>A  m</t>
    </r>
    <r>
      <rPr>
        <vertAlign val="superscript"/>
        <sz val="14"/>
        <rFont val="Sylfaen"/>
        <family val="1"/>
      </rPr>
      <t>2</t>
    </r>
  </si>
  <si>
    <r>
      <t xml:space="preserve">B.                </t>
    </r>
    <r>
      <rPr>
        <sz val="12"/>
        <rFont val="Sylfaen"/>
        <family val="1"/>
      </rPr>
      <t>C</t>
    </r>
    <r>
      <rPr>
        <vertAlign val="subscript"/>
        <sz val="14"/>
        <rFont val="Sylfaen"/>
        <family val="1"/>
      </rPr>
      <t>D</t>
    </r>
    <r>
      <rPr>
        <sz val="12"/>
        <rFont val="Sylfaen"/>
        <family val="1"/>
      </rPr>
      <t>A  m</t>
    </r>
    <r>
      <rPr>
        <vertAlign val="superscript"/>
        <sz val="14"/>
        <rFont val="Sylfaen"/>
        <family val="1"/>
      </rPr>
      <t>2</t>
    </r>
  </si>
  <si>
    <r>
      <t xml:space="preserve">Density </t>
    </r>
    <r>
      <rPr>
        <sz val="12"/>
        <rFont val="Sylfaen"/>
        <family val="1"/>
      </rPr>
      <t xml:space="preserve"> </t>
    </r>
    <r>
      <rPr>
        <sz val="11"/>
        <rFont val="Sylfaen"/>
        <family val="1"/>
      </rPr>
      <t xml:space="preserve">       </t>
    </r>
    <r>
      <rPr>
        <sz val="10"/>
        <rFont val="Sylfaen"/>
        <family val="1"/>
      </rPr>
      <t>kg/m</t>
    </r>
    <r>
      <rPr>
        <vertAlign val="superscript"/>
        <sz val="11"/>
        <rFont val="Sylfaen"/>
        <family val="1"/>
      </rPr>
      <t>3</t>
    </r>
  </si>
  <si>
    <r>
      <t xml:space="preserve">q   </t>
    </r>
    <r>
      <rPr>
        <sz val="11"/>
        <rFont val="Sylfaen"/>
        <family val="1"/>
      </rPr>
      <t xml:space="preserve">          kg/m2</t>
    </r>
  </si>
  <si>
    <r>
      <t>C</t>
    </r>
    <r>
      <rPr>
        <vertAlign val="subscript"/>
        <sz val="14"/>
        <rFont val="Sylfaen"/>
        <family val="1"/>
      </rPr>
      <t>RR</t>
    </r>
  </si>
  <si>
    <r>
      <t>C</t>
    </r>
    <r>
      <rPr>
        <vertAlign val="subscript"/>
        <sz val="14"/>
        <rFont val="Sylfaen"/>
        <family val="1"/>
      </rPr>
      <t>BR</t>
    </r>
  </si>
  <si>
    <r>
      <t>D</t>
    </r>
    <r>
      <rPr>
        <sz val="12"/>
        <rFont val="Sylfaen"/>
        <family val="1"/>
      </rPr>
      <t xml:space="preserve"> CDA =</t>
    </r>
  </si>
  <si>
    <r>
      <t>%D</t>
    </r>
    <r>
      <rPr>
        <sz val="12"/>
        <rFont val="Sylfaen"/>
        <family val="1"/>
      </rPr>
      <t xml:space="preserve"> CDA =</t>
    </r>
  </si>
  <si>
    <r>
      <t>A.</t>
    </r>
    <r>
      <rPr>
        <sz val="12"/>
        <color indexed="9"/>
        <rFont val="Sylfaen"/>
        <family val="1"/>
      </rPr>
      <t xml:space="preserve"> CDA  ft</t>
    </r>
    <r>
      <rPr>
        <vertAlign val="superscript"/>
        <sz val="14"/>
        <color indexed="9"/>
        <rFont val="Sylfaen"/>
        <family val="1"/>
      </rPr>
      <t>2</t>
    </r>
  </si>
  <si>
    <r>
      <t>A.</t>
    </r>
    <r>
      <rPr>
        <sz val="12"/>
        <rFont val="Sylfaen"/>
        <family val="1"/>
      </rPr>
      <t xml:space="preserve"> CDA  m</t>
    </r>
    <r>
      <rPr>
        <vertAlign val="superscript"/>
        <sz val="14"/>
        <rFont val="Sylfaen"/>
        <family val="1"/>
      </rPr>
      <t>2</t>
    </r>
  </si>
  <si>
    <r>
      <t>B.</t>
    </r>
    <r>
      <rPr>
        <sz val="12"/>
        <color indexed="9"/>
        <rFont val="Sylfaen"/>
        <family val="1"/>
      </rPr>
      <t xml:space="preserve"> CDA  ft</t>
    </r>
    <r>
      <rPr>
        <vertAlign val="superscript"/>
        <sz val="14"/>
        <color indexed="9"/>
        <rFont val="Sylfaen"/>
        <family val="1"/>
      </rPr>
      <t>2</t>
    </r>
  </si>
  <si>
    <r>
      <t>B.</t>
    </r>
    <r>
      <rPr>
        <sz val="12"/>
        <rFont val="Sylfaen"/>
        <family val="1"/>
      </rPr>
      <t xml:space="preserve"> CDA  m</t>
    </r>
    <r>
      <rPr>
        <vertAlign val="superscript"/>
        <sz val="14"/>
        <rFont val="Sylfaen"/>
        <family val="1"/>
      </rPr>
      <t>2</t>
    </r>
  </si>
  <si>
    <r>
      <t>D</t>
    </r>
    <r>
      <rPr>
        <sz val="12"/>
        <rFont val="Sylfaen"/>
        <family val="1"/>
      </rPr>
      <t xml:space="preserve"> Drag (lbs) =</t>
    </r>
  </si>
  <si>
    <r>
      <t>D</t>
    </r>
    <r>
      <rPr>
        <sz val="12"/>
        <rFont val="Sylfaen"/>
        <family val="1"/>
      </rPr>
      <t xml:space="preserve"> Drag (grams) =</t>
    </r>
  </si>
  <si>
    <r>
      <t>D</t>
    </r>
    <r>
      <rPr>
        <sz val="12"/>
        <rFont val="Sylfaen"/>
        <family val="1"/>
      </rPr>
      <t xml:space="preserve"> HP =</t>
    </r>
  </si>
  <si>
    <r>
      <t>D</t>
    </r>
    <r>
      <rPr>
        <sz val="12"/>
        <rFont val="Sylfaen"/>
        <family val="1"/>
      </rPr>
      <t xml:space="preserve"> Watts =</t>
    </r>
  </si>
  <si>
    <r>
      <t>D</t>
    </r>
    <r>
      <rPr>
        <sz val="12"/>
        <rFont val="Sylfaen"/>
        <family val="1"/>
      </rPr>
      <t xml:space="preserve"> Velocity (mph) =</t>
    </r>
  </si>
  <si>
    <r>
      <t>D</t>
    </r>
    <r>
      <rPr>
        <sz val="12"/>
        <rFont val="Sylfaen"/>
        <family val="1"/>
      </rPr>
      <t xml:space="preserve"> Velocity (kph) =</t>
    </r>
  </si>
  <si>
    <r>
      <t>.</t>
    </r>
    <r>
      <rPr>
        <sz val="12"/>
        <rFont val="Sylfaen"/>
        <family val="1"/>
      </rPr>
      <t>= Miles</t>
    </r>
  </si>
  <si>
    <r>
      <t>D</t>
    </r>
    <r>
      <rPr>
        <sz val="12"/>
        <rFont val="Sylfaen"/>
        <family val="1"/>
      </rPr>
      <t xml:space="preserve"> Time =</t>
    </r>
  </si>
  <si>
    <r>
      <t>.</t>
    </r>
    <r>
      <rPr>
        <sz val="12"/>
        <rFont val="Sylfaen"/>
        <family val="1"/>
      </rPr>
      <t>=LBS</t>
    </r>
  </si>
  <si>
    <r>
      <t>.</t>
    </r>
    <r>
      <rPr>
        <sz val="12"/>
        <rFont val="Sylfaen"/>
        <family val="1"/>
      </rPr>
      <t>= MPH</t>
    </r>
  </si>
  <si>
    <t xml:space="preserve"> FOR FORCES</t>
  </si>
  <si>
    <r>
      <t xml:space="preserve">Body Axis </t>
    </r>
    <r>
      <rPr>
        <sz val="12"/>
        <color indexed="9"/>
        <rFont val="Arial"/>
        <family val="2"/>
      </rPr>
      <t xml:space="preserve">   C</t>
    </r>
    <r>
      <rPr>
        <vertAlign val="subscript"/>
        <sz val="12"/>
        <color indexed="9"/>
        <rFont val="Arial"/>
        <family val="2"/>
      </rPr>
      <t>D</t>
    </r>
    <r>
      <rPr>
        <sz val="12"/>
        <color indexed="9"/>
        <rFont val="Arial"/>
        <family val="2"/>
      </rPr>
      <t>A  Meters</t>
    </r>
    <r>
      <rPr>
        <sz val="10"/>
        <color indexed="9"/>
        <rFont val="Arial"/>
        <family val="2"/>
      </rPr>
      <t xml:space="preserve"> </t>
    </r>
  </si>
  <si>
    <t>Maxwell 2</t>
  </si>
  <si>
    <t>Y</t>
  </si>
  <si>
    <t>AVG</t>
  </si>
  <si>
    <t/>
  </si>
  <si>
    <t xml:space="preserve"> </t>
  </si>
  <si>
    <t>3/4" Block under rear</t>
  </si>
  <si>
    <t>1.5" Blocks under rear</t>
  </si>
  <si>
    <t>New Car</t>
  </si>
  <si>
    <t>Carbon wind screen removed</t>
  </si>
  <si>
    <t xml:space="preserve">New coated hatch </t>
  </si>
  <si>
    <t>taped in 4 corners</t>
  </si>
  <si>
    <t>Hatch sealed with tape</t>
  </si>
  <si>
    <t>FOULED FROM TUNNEL COVER PLATE?</t>
  </si>
  <si>
    <t>Wheel fences</t>
  </si>
  <si>
    <t>Run 25 repeat</t>
  </si>
  <si>
    <t>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</si>
</sst>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
    <numFmt numFmtId="166" formatCode=".000"/>
    <numFmt numFmtId="167" formatCode=".00"/>
    <numFmt numFmtId="168" formatCode=".0"/>
    <numFmt numFmtId="169" formatCode="[$-F800]dddd\,\ mmmm\ dd\,\ yyyy"/>
    <numFmt numFmtId="170" formatCode="0.0%"/>
    <numFmt numFmtId="171" formatCode="h:mm:ss;@"/>
  </numFmts>
  <fonts count="54" x14ac:knownFonts="1">
    <font>
      <sz val="10"/>
      <name val="Arial"/>
    </font>
    <font>
      <sz val="10"/>
      <name val="Arial"/>
      <family val="2"/>
    </font>
    <font>
      <sz val="8"/>
      <name val="Arial"/>
      <family val="2"/>
    </font>
    <font>
      <b/>
      <sz val="10"/>
      <name val="Arial"/>
      <family val="2"/>
    </font>
    <font>
      <sz val="10"/>
      <name val="Arial"/>
      <family val="2"/>
    </font>
    <font>
      <sz val="12"/>
      <color indexed="9"/>
      <name val="Arial"/>
      <family val="2"/>
    </font>
    <font>
      <vertAlign val="subscript"/>
      <sz val="12"/>
      <color indexed="9"/>
      <name val="Arial"/>
      <family val="2"/>
    </font>
    <font>
      <sz val="10"/>
      <color indexed="9"/>
      <name val="Arial"/>
      <family val="2"/>
    </font>
    <font>
      <sz val="10"/>
      <color indexed="8"/>
      <name val="Arial"/>
      <family val="2"/>
    </font>
    <font>
      <sz val="10"/>
      <color indexed="55"/>
      <name val="Arial"/>
      <family val="2"/>
    </font>
    <font>
      <sz val="8"/>
      <name val="Arial"/>
      <family val="2"/>
    </font>
    <font>
      <sz val="9"/>
      <color indexed="9"/>
      <name val="Arial"/>
      <family val="2"/>
    </font>
    <font>
      <b/>
      <sz val="8"/>
      <name val="Arial"/>
      <family val="2"/>
    </font>
    <font>
      <sz val="8"/>
      <color indexed="22"/>
      <name val="Arial"/>
      <family val="2"/>
    </font>
    <font>
      <b/>
      <sz val="9"/>
      <name val="Arial"/>
      <family val="2"/>
    </font>
    <font>
      <sz val="8"/>
      <color indexed="8"/>
      <name val="Arial"/>
      <family val="2"/>
    </font>
    <font>
      <b/>
      <sz val="9"/>
      <color indexed="8"/>
      <name val="Arial"/>
      <family val="2"/>
    </font>
    <font>
      <b/>
      <sz val="12"/>
      <color indexed="9"/>
      <name val="Arial"/>
      <family val="2"/>
    </font>
    <font>
      <sz val="9"/>
      <name val="Arial"/>
      <family val="2"/>
    </font>
    <font>
      <b/>
      <sz val="10"/>
      <color indexed="10"/>
      <name val="Arial"/>
      <family val="2"/>
    </font>
    <font>
      <b/>
      <sz val="8"/>
      <color indexed="22"/>
      <name val="Arial"/>
      <family val="2"/>
    </font>
    <font>
      <sz val="10"/>
      <color indexed="57"/>
      <name val="Arial"/>
      <family val="2"/>
    </font>
    <font>
      <b/>
      <sz val="8"/>
      <color indexed="10"/>
      <name val="Arial"/>
      <family val="2"/>
    </font>
    <font>
      <sz val="1"/>
      <color indexed="10"/>
      <name val="Arial"/>
      <family val="2"/>
    </font>
    <font>
      <vertAlign val="subscript"/>
      <sz val="1"/>
      <color indexed="10"/>
      <name val="Arial"/>
      <family val="2"/>
    </font>
    <font>
      <b/>
      <sz val="8"/>
      <color indexed="9"/>
      <name val="Arial"/>
      <family val="2"/>
    </font>
    <font>
      <u/>
      <sz val="10"/>
      <color indexed="12"/>
      <name val="Arial"/>
      <family val="2"/>
    </font>
    <font>
      <i/>
      <sz val="12"/>
      <color indexed="10"/>
      <name val="Sylfaen"/>
      <family val="1"/>
    </font>
    <font>
      <i/>
      <sz val="12"/>
      <name val="Sylfaen"/>
      <family val="1"/>
    </font>
    <font>
      <sz val="12"/>
      <name val="Sylfaen"/>
      <family val="1"/>
    </font>
    <font>
      <sz val="12"/>
      <color indexed="9"/>
      <name val="Sylfaen"/>
      <family val="1"/>
    </font>
    <font>
      <sz val="9"/>
      <color indexed="9"/>
      <name val="Sylfaen"/>
      <family val="1"/>
    </font>
    <font>
      <vertAlign val="subscript"/>
      <sz val="14"/>
      <color indexed="9"/>
      <name val="Sylfaen"/>
      <family val="1"/>
    </font>
    <font>
      <vertAlign val="superscript"/>
      <sz val="14"/>
      <color indexed="9"/>
      <name val="Sylfaen"/>
      <family val="1"/>
    </font>
    <font>
      <sz val="9"/>
      <color indexed="10"/>
      <name val="Sylfaen"/>
      <family val="1"/>
    </font>
    <font>
      <sz val="10"/>
      <color indexed="9"/>
      <name val="Sylfaen"/>
      <family val="1"/>
    </font>
    <font>
      <sz val="11"/>
      <color indexed="9"/>
      <name val="Sylfaen"/>
      <family val="1"/>
    </font>
    <font>
      <vertAlign val="superscript"/>
      <sz val="11"/>
      <color indexed="9"/>
      <name val="Sylfaen"/>
      <family val="1"/>
    </font>
    <font>
      <vertAlign val="superscript"/>
      <sz val="12"/>
      <color indexed="9"/>
      <name val="Sylfaen"/>
      <family val="1"/>
    </font>
    <font>
      <vertAlign val="subscript"/>
      <sz val="14"/>
      <name val="Sylfaen"/>
      <family val="1"/>
    </font>
    <font>
      <vertAlign val="superscript"/>
      <sz val="14"/>
      <name val="Sylfaen"/>
      <family val="1"/>
    </font>
    <font>
      <sz val="9"/>
      <name val="Sylfaen"/>
      <family val="1"/>
    </font>
    <font>
      <sz val="10"/>
      <name val="Sylfaen"/>
      <family val="1"/>
    </font>
    <font>
      <sz val="11"/>
      <name val="Sylfaen"/>
      <family val="1"/>
    </font>
    <font>
      <vertAlign val="superscript"/>
      <sz val="11"/>
      <name val="Sylfaen"/>
      <family val="1"/>
    </font>
    <font>
      <sz val="12"/>
      <color indexed="10"/>
      <name val="Sylfaen"/>
      <family val="1"/>
    </font>
    <font>
      <sz val="14"/>
      <name val="Symbol"/>
      <family val="1"/>
      <charset val="2"/>
    </font>
    <font>
      <sz val="10"/>
      <color indexed="9"/>
      <name val="Arial"/>
      <family val="2"/>
    </font>
    <font>
      <sz val="8"/>
      <color indexed="22"/>
      <name val="Sylfaen"/>
      <family val="1"/>
    </font>
    <font>
      <sz val="10"/>
      <color indexed="22"/>
      <name val="Sylfaen"/>
      <family val="1"/>
    </font>
    <font>
      <b/>
      <sz val="12"/>
      <name val="Sylfaen"/>
      <family val="1"/>
    </font>
    <font>
      <sz val="12"/>
      <color indexed="22"/>
      <name val="Sylfaen"/>
      <family val="1"/>
    </font>
    <font>
      <sz val="9"/>
      <color indexed="22"/>
      <name val="Sylfaen"/>
      <family val="1"/>
    </font>
    <font>
      <b/>
      <sz val="10"/>
      <color rgb="FFFF0000"/>
      <name val="Arial"/>
      <family val="2"/>
    </font>
  </fonts>
  <fills count="12">
    <fill>
      <patternFill patternType="none"/>
    </fill>
    <fill>
      <patternFill patternType="gray125"/>
    </fill>
    <fill>
      <patternFill patternType="solid">
        <fgColor indexed="43"/>
        <bgColor indexed="64"/>
      </patternFill>
    </fill>
    <fill>
      <patternFill patternType="solid">
        <fgColor indexed="12"/>
        <bgColor indexed="64"/>
      </patternFill>
    </fill>
    <fill>
      <patternFill patternType="solid">
        <fgColor indexed="10"/>
        <bgColor indexed="64"/>
      </patternFill>
    </fill>
    <fill>
      <patternFill patternType="solid">
        <fgColor indexed="11"/>
        <bgColor indexed="64"/>
      </patternFill>
    </fill>
    <fill>
      <patternFill patternType="solid">
        <fgColor indexed="40"/>
        <bgColor indexed="64"/>
      </patternFill>
    </fill>
    <fill>
      <patternFill patternType="solid">
        <fgColor indexed="22"/>
        <bgColor indexed="64"/>
      </patternFill>
    </fill>
    <fill>
      <patternFill patternType="solid">
        <fgColor indexed="17"/>
        <bgColor indexed="64"/>
      </patternFill>
    </fill>
    <fill>
      <patternFill patternType="solid">
        <fgColor indexed="50"/>
        <bgColor indexed="64"/>
      </patternFill>
    </fill>
    <fill>
      <patternFill patternType="solid">
        <fgColor indexed="20"/>
        <bgColor indexed="64"/>
      </patternFill>
    </fill>
    <fill>
      <patternFill patternType="solid">
        <fgColor indexed="8"/>
        <bgColor indexed="64"/>
      </patternFill>
    </fill>
  </fills>
  <borders count="23">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medium">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ashed">
        <color indexed="64"/>
      </left>
      <right/>
      <top style="dashed">
        <color indexed="64"/>
      </top>
      <bottom/>
      <diagonal/>
    </border>
    <border>
      <left/>
      <right/>
      <top style="dashed">
        <color indexed="64"/>
      </top>
      <bottom/>
      <diagonal/>
    </border>
    <border>
      <left style="dashed">
        <color indexed="64"/>
      </left>
      <right style="dashed">
        <color indexed="64"/>
      </right>
      <top style="dashed">
        <color indexed="64"/>
      </top>
      <bottom style="dashed">
        <color indexed="64"/>
      </bottom>
      <diagonal/>
    </border>
    <border>
      <left style="dashed">
        <color indexed="64"/>
      </left>
      <right/>
      <top/>
      <bottom style="dashed">
        <color indexed="64"/>
      </bottom>
      <diagonal/>
    </border>
    <border>
      <left/>
      <right/>
      <top/>
      <bottom style="dashed">
        <color indexed="64"/>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right style="dashed">
        <color indexed="64"/>
      </right>
      <top/>
      <bottom style="dashed">
        <color indexed="64"/>
      </bottom>
      <diagonal/>
    </border>
    <border>
      <left/>
      <right/>
      <top/>
      <bottom style="thin">
        <color indexed="64"/>
      </bottom>
      <diagonal/>
    </border>
  </borders>
  <cellStyleXfs count="2">
    <xf numFmtId="0" fontId="0" fillId="0" borderId="0"/>
    <xf numFmtId="0" fontId="26" fillId="0" borderId="0" applyNumberFormat="0" applyFill="0" applyBorder="0" applyAlignment="0" applyProtection="0">
      <alignment vertical="top"/>
      <protection locked="0"/>
    </xf>
  </cellStyleXfs>
  <cellXfs count="167">
    <xf numFmtId="0" fontId="0" fillId="0" borderId="0" xfId="0"/>
    <xf numFmtId="0" fontId="4" fillId="0" borderId="0" xfId="0" applyFont="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4" fillId="0" borderId="0" xfId="0" applyFont="1" applyBorder="1" applyAlignment="1">
      <alignment horizontal="right"/>
    </xf>
    <xf numFmtId="0" fontId="3" fillId="0" borderId="0" xfId="0" applyFont="1" applyBorder="1" applyAlignment="1">
      <alignment horizontal="center"/>
    </xf>
    <xf numFmtId="1" fontId="4" fillId="0" borderId="0" xfId="0" applyNumberFormat="1" applyFont="1" applyAlignment="1">
      <alignment horizontal="center"/>
    </xf>
    <xf numFmtId="166" fontId="3" fillId="2" borderId="1" xfId="0" applyNumberFormat="1" applyFont="1" applyFill="1" applyBorder="1" applyAlignment="1">
      <alignment horizontal="center"/>
    </xf>
    <xf numFmtId="166" fontId="4" fillId="0" borderId="0" xfId="0" applyNumberFormat="1" applyFont="1" applyBorder="1"/>
    <xf numFmtId="165" fontId="4" fillId="0" borderId="0" xfId="0" applyNumberFormat="1" applyFont="1" applyBorder="1" applyAlignment="1">
      <alignment horizontal="left"/>
    </xf>
    <xf numFmtId="165" fontId="4" fillId="0" borderId="0" xfId="0" applyNumberFormat="1" applyFont="1" applyAlignment="1">
      <alignment horizontal="center"/>
    </xf>
    <xf numFmtId="1" fontId="4" fillId="0" borderId="0" xfId="0" applyNumberFormat="1" applyFont="1" applyBorder="1" applyAlignment="1">
      <alignment horizontal="center"/>
    </xf>
    <xf numFmtId="1" fontId="3" fillId="2" borderId="1" xfId="0" applyNumberFormat="1" applyFont="1" applyFill="1" applyBorder="1" applyAlignment="1">
      <alignment horizontal="center"/>
    </xf>
    <xf numFmtId="1" fontId="4" fillId="0" borderId="0" xfId="0" applyNumberFormat="1" applyFont="1" applyBorder="1" applyAlignment="1">
      <alignment horizontal="right"/>
    </xf>
    <xf numFmtId="166" fontId="7" fillId="3" borderId="2" xfId="0" applyNumberFormat="1" applyFont="1" applyFill="1" applyBorder="1" applyAlignment="1">
      <alignment horizontal="center" vertical="center" wrapText="1"/>
    </xf>
    <xf numFmtId="0" fontId="4" fillId="0" borderId="0" xfId="0" applyFont="1" applyFill="1" applyBorder="1" applyAlignment="1">
      <alignment horizontal="center"/>
    </xf>
    <xf numFmtId="0" fontId="7" fillId="4" borderId="3" xfId="0" applyFont="1" applyFill="1" applyBorder="1" applyAlignment="1">
      <alignment horizontal="center" vertical="center" wrapText="1"/>
    </xf>
    <xf numFmtId="1" fontId="9" fillId="0" borderId="0" xfId="0" applyNumberFormat="1" applyFont="1" applyAlignment="1">
      <alignment horizontal="center"/>
    </xf>
    <xf numFmtId="165" fontId="9" fillId="0" borderId="0" xfId="0" applyNumberFormat="1" applyFont="1" applyAlignment="1">
      <alignment horizontal="center"/>
    </xf>
    <xf numFmtId="0" fontId="9" fillId="0" borderId="0" xfId="0" applyFont="1" applyBorder="1" applyAlignment="1">
      <alignment horizontal="center"/>
    </xf>
    <xf numFmtId="165" fontId="9" fillId="0" borderId="4" xfId="0" applyNumberFormat="1" applyFont="1" applyBorder="1" applyAlignment="1">
      <alignment horizontal="center"/>
    </xf>
    <xf numFmtId="1" fontId="9" fillId="0" borderId="4" xfId="0" applyNumberFormat="1" applyFont="1" applyBorder="1" applyAlignment="1">
      <alignment horizontal="center"/>
    </xf>
    <xf numFmtId="165" fontId="12" fillId="0" borderId="0" xfId="0" applyNumberFormat="1" applyFont="1" applyFill="1" applyAlignment="1">
      <alignment horizontal="center"/>
    </xf>
    <xf numFmtId="1" fontId="9" fillId="0" borderId="0" xfId="0" applyNumberFormat="1" applyFont="1" applyFill="1" applyBorder="1" applyAlignment="1">
      <alignment horizontal="center"/>
    </xf>
    <xf numFmtId="0" fontId="12" fillId="0" borderId="0" xfId="0" applyFont="1" applyFill="1" applyAlignment="1">
      <alignment horizontal="center"/>
    </xf>
    <xf numFmtId="166" fontId="4" fillId="0" borderId="0" xfId="0" applyNumberFormat="1" applyFont="1" applyBorder="1" applyAlignment="1">
      <alignment horizontal="center"/>
    </xf>
    <xf numFmtId="165" fontId="13" fillId="0" borderId="0" xfId="0" applyNumberFormat="1" applyFont="1" applyFill="1" applyAlignment="1">
      <alignment horizontal="center"/>
    </xf>
    <xf numFmtId="165" fontId="13" fillId="0" borderId="4" xfId="0" applyNumberFormat="1" applyFont="1" applyFill="1" applyBorder="1" applyAlignment="1">
      <alignment horizontal="center"/>
    </xf>
    <xf numFmtId="0" fontId="12" fillId="5" borderId="1" xfId="0" applyFont="1" applyFill="1" applyBorder="1" applyAlignment="1">
      <alignment horizontal="center"/>
    </xf>
    <xf numFmtId="0" fontId="10" fillId="0" borderId="0" xfId="0" applyFont="1" applyAlignment="1"/>
    <xf numFmtId="0" fontId="10" fillId="0" borderId="0" xfId="0" applyFont="1"/>
    <xf numFmtId="0" fontId="15" fillId="0" borderId="0" xfId="0" applyFont="1" applyBorder="1"/>
    <xf numFmtId="0" fontId="15" fillId="0" borderId="4" xfId="0" applyFont="1" applyBorder="1"/>
    <xf numFmtId="0" fontId="10" fillId="0" borderId="0" xfId="0" applyFont="1" applyAlignment="1">
      <alignment horizontal="center"/>
    </xf>
    <xf numFmtId="0" fontId="14" fillId="0" borderId="0" xfId="0" applyFont="1" applyBorder="1" applyAlignment="1">
      <alignment horizontal="center"/>
    </xf>
    <xf numFmtId="20" fontId="16" fillId="0" borderId="0" xfId="0" applyNumberFormat="1" applyFont="1" applyAlignment="1">
      <alignment horizontal="center"/>
    </xf>
    <xf numFmtId="20" fontId="16" fillId="0" borderId="4" xfId="0" applyNumberFormat="1" applyFont="1" applyBorder="1" applyAlignment="1">
      <alignment horizontal="center"/>
    </xf>
    <xf numFmtId="0" fontId="14" fillId="0" borderId="0" xfId="0" applyFont="1" applyAlignment="1">
      <alignment horizontal="center"/>
    </xf>
    <xf numFmtId="0" fontId="4" fillId="0" borderId="0" xfId="0" applyFont="1" applyBorder="1" applyAlignment="1">
      <alignment horizontal="center" vertical="center"/>
    </xf>
    <xf numFmtId="0" fontId="17" fillId="3" borderId="5" xfId="0" applyFont="1" applyFill="1" applyBorder="1" applyAlignment="1">
      <alignment horizontal="center" vertical="center"/>
    </xf>
    <xf numFmtId="2" fontId="11" fillId="3" borderId="2" xfId="0" applyNumberFormat="1" applyFont="1" applyFill="1" applyBorder="1" applyAlignment="1">
      <alignment horizontal="center" vertical="center" textRotation="90"/>
    </xf>
    <xf numFmtId="165" fontId="11" fillId="3" borderId="2" xfId="0" applyNumberFormat="1" applyFont="1" applyFill="1" applyBorder="1" applyAlignment="1">
      <alignment horizontal="center" vertical="center" textRotation="90"/>
    </xf>
    <xf numFmtId="0" fontId="18" fillId="2" borderId="2" xfId="0" applyFont="1" applyFill="1" applyBorder="1" applyAlignment="1">
      <alignment horizontal="center" vertical="center" textRotation="90"/>
    </xf>
    <xf numFmtId="0" fontId="18" fillId="2" borderId="6" xfId="0" applyFont="1" applyFill="1" applyBorder="1" applyAlignment="1">
      <alignment horizontal="center" vertical="center" textRotation="90"/>
    </xf>
    <xf numFmtId="165" fontId="8" fillId="6" borderId="7" xfId="0" applyNumberFormat="1" applyFont="1" applyFill="1" applyBorder="1" applyAlignment="1">
      <alignment horizontal="center" vertical="center" wrapText="1"/>
    </xf>
    <xf numFmtId="1" fontId="8" fillId="6" borderId="2" xfId="0" applyNumberFormat="1" applyFont="1" applyFill="1" applyBorder="1" applyAlignment="1">
      <alignment horizontal="center" vertical="center" wrapText="1"/>
    </xf>
    <xf numFmtId="2" fontId="4" fillId="0" borderId="0" xfId="0" applyNumberFormat="1" applyFont="1" applyFill="1" applyBorder="1" applyAlignment="1">
      <alignment horizontal="center"/>
    </xf>
    <xf numFmtId="2" fontId="7" fillId="3" borderId="2" xfId="0" applyNumberFormat="1" applyFont="1" applyFill="1" applyBorder="1" applyAlignment="1">
      <alignment horizontal="center" vertical="center" wrapText="1"/>
    </xf>
    <xf numFmtId="2" fontId="4" fillId="0" borderId="0" xfId="0" applyNumberFormat="1" applyFont="1" applyBorder="1"/>
    <xf numFmtId="0" fontId="20" fillId="0" borderId="0" xfId="0" applyFont="1" applyFill="1" applyAlignment="1">
      <alignment horizontal="center"/>
    </xf>
    <xf numFmtId="20" fontId="20" fillId="0" borderId="4" xfId="0" applyNumberFormat="1" applyFont="1" applyFill="1" applyBorder="1" applyAlignment="1">
      <alignment horizontal="center"/>
    </xf>
    <xf numFmtId="166" fontId="3" fillId="0" borderId="0" xfId="0" applyNumberFormat="1" applyFont="1" applyBorder="1"/>
    <xf numFmtId="2" fontId="8" fillId="7" borderId="2" xfId="0" applyNumberFormat="1" applyFont="1" applyFill="1" applyBorder="1" applyAlignment="1">
      <alignment horizontal="center" vertical="center" wrapText="1"/>
    </xf>
    <xf numFmtId="166" fontId="7" fillId="8" borderId="2" xfId="0" applyNumberFormat="1" applyFont="1" applyFill="1" applyBorder="1" applyAlignment="1">
      <alignment horizontal="center" vertical="center" wrapText="1"/>
    </xf>
    <xf numFmtId="2" fontId="7" fillId="8" borderId="2" xfId="0" applyNumberFormat="1" applyFont="1" applyFill="1" applyBorder="1" applyAlignment="1">
      <alignment horizontal="center" vertical="center" wrapText="1"/>
    </xf>
    <xf numFmtId="1" fontId="7" fillId="9" borderId="2" xfId="0" applyNumberFormat="1" applyFont="1" applyFill="1" applyBorder="1" applyAlignment="1">
      <alignment horizontal="center" vertical="center" wrapText="1"/>
    </xf>
    <xf numFmtId="0" fontId="7" fillId="10" borderId="2" xfId="0" applyFont="1" applyFill="1" applyBorder="1" applyAlignment="1">
      <alignment horizontal="center" vertical="center" wrapText="1"/>
    </xf>
    <xf numFmtId="0" fontId="10" fillId="0" borderId="0" xfId="0" applyFont="1" applyFill="1" applyBorder="1" applyAlignment="1"/>
    <xf numFmtId="1" fontId="4" fillId="0" borderId="0" xfId="0" applyNumberFormat="1" applyFont="1" applyFill="1" applyAlignment="1">
      <alignment horizontal="center"/>
    </xf>
    <xf numFmtId="165" fontId="8" fillId="0" borderId="0" xfId="0" applyNumberFormat="1" applyFont="1" applyBorder="1"/>
    <xf numFmtId="166" fontId="8" fillId="0" borderId="0" xfId="0" applyNumberFormat="1" applyFont="1" applyBorder="1" applyAlignment="1">
      <alignment horizontal="center"/>
    </xf>
    <xf numFmtId="169" fontId="4" fillId="0" borderId="0" xfId="0" applyNumberFormat="1" applyFont="1" applyAlignment="1">
      <alignment horizontal="left"/>
    </xf>
    <xf numFmtId="0" fontId="10" fillId="11" borderId="0" xfId="0" applyFont="1" applyFill="1" applyAlignment="1">
      <alignment horizontal="center"/>
    </xf>
    <xf numFmtId="165" fontId="22" fillId="11" borderId="0" xfId="0" applyNumberFormat="1" applyFont="1" applyFill="1" applyAlignment="1">
      <alignment horizontal="left"/>
    </xf>
    <xf numFmtId="165" fontId="23" fillId="11" borderId="0" xfId="0" applyNumberFormat="1" applyFont="1" applyFill="1" applyAlignment="1">
      <alignment horizontal="center"/>
    </xf>
    <xf numFmtId="165" fontId="23" fillId="11" borderId="2" xfId="0" applyNumberFormat="1" applyFont="1" applyFill="1" applyBorder="1" applyAlignment="1">
      <alignment horizontal="center" vertical="center" wrapText="1"/>
    </xf>
    <xf numFmtId="1" fontId="21" fillId="0" borderId="8" xfId="0" applyNumberFormat="1" applyFont="1" applyBorder="1"/>
    <xf numFmtId="1" fontId="21" fillId="0" borderId="9" xfId="0" applyNumberFormat="1" applyFont="1" applyBorder="1"/>
    <xf numFmtId="0" fontId="4" fillId="0" borderId="10" xfId="0" applyFont="1" applyBorder="1" applyAlignment="1">
      <alignment horizontal="center"/>
    </xf>
    <xf numFmtId="165" fontId="25" fillId="0" borderId="0" xfId="0" applyNumberFormat="1" applyFont="1" applyFill="1" applyAlignment="1">
      <alignment horizontal="center"/>
    </xf>
    <xf numFmtId="165" fontId="25" fillId="0" borderId="4" xfId="0" applyNumberFormat="1" applyFont="1" applyFill="1" applyBorder="1" applyAlignment="1">
      <alignment horizontal="center"/>
    </xf>
    <xf numFmtId="165" fontId="12" fillId="0" borderId="4" xfId="0" applyNumberFormat="1" applyFont="1" applyFill="1" applyBorder="1" applyAlignment="1">
      <alignment horizontal="center"/>
    </xf>
    <xf numFmtId="0" fontId="1" fillId="0" borderId="0" xfId="0" applyFont="1" applyBorder="1" applyAlignment="1">
      <alignment horizontal="center"/>
    </xf>
    <xf numFmtId="0" fontId="29" fillId="0" borderId="0" xfId="0" applyFont="1" applyAlignment="1">
      <alignment horizontal="center"/>
    </xf>
    <xf numFmtId="0" fontId="30" fillId="3" borderId="11" xfId="0" applyFont="1" applyFill="1" applyBorder="1" applyAlignment="1">
      <alignment horizontal="center" vertical="center" wrapText="1"/>
    </xf>
    <xf numFmtId="0" fontId="34" fillId="3" borderId="11" xfId="0" applyFont="1" applyFill="1" applyBorder="1" applyAlignment="1">
      <alignment horizontal="center" vertical="center" wrapText="1"/>
    </xf>
    <xf numFmtId="0" fontId="35" fillId="3" borderId="11" xfId="0" applyFont="1" applyFill="1" applyBorder="1" applyAlignment="1">
      <alignment horizontal="center" vertical="center" wrapText="1"/>
    </xf>
    <xf numFmtId="0" fontId="29" fillId="0" borderId="12" xfId="0" applyFont="1" applyBorder="1" applyAlignment="1">
      <alignment horizontal="center"/>
    </xf>
    <xf numFmtId="0" fontId="41" fillId="6" borderId="11" xfId="0" applyFont="1" applyFill="1" applyBorder="1" applyAlignment="1">
      <alignment horizontal="center" vertical="center" wrapText="1"/>
    </xf>
    <xf numFmtId="0" fontId="42" fillId="6" borderId="11" xfId="0" applyFont="1" applyFill="1" applyBorder="1" applyAlignment="1">
      <alignment horizontal="center" vertical="center" wrapText="1"/>
    </xf>
    <xf numFmtId="0" fontId="29" fillId="6" borderId="11" xfId="0" applyFont="1" applyFill="1" applyBorder="1" applyAlignment="1">
      <alignment horizontal="center" vertical="center" wrapText="1"/>
    </xf>
    <xf numFmtId="164" fontId="45" fillId="0" borderId="11" xfId="0" applyNumberFormat="1" applyFont="1" applyBorder="1" applyAlignment="1">
      <alignment horizontal="center"/>
    </xf>
    <xf numFmtId="0" fontId="45" fillId="0" borderId="11" xfId="0" applyFont="1" applyBorder="1" applyAlignment="1">
      <alignment horizontal="center"/>
    </xf>
    <xf numFmtId="0" fontId="29" fillId="0" borderId="11" xfId="0" applyFont="1" applyBorder="1" applyAlignment="1">
      <alignment horizontal="center"/>
    </xf>
    <xf numFmtId="2" fontId="29" fillId="0" borderId="11" xfId="0" applyNumberFormat="1" applyFont="1" applyBorder="1" applyAlignment="1">
      <alignment horizontal="center"/>
    </xf>
    <xf numFmtId="165" fontId="45" fillId="0" borderId="11" xfId="0" applyNumberFormat="1" applyFont="1" applyBorder="1" applyAlignment="1">
      <alignment horizontal="center"/>
    </xf>
    <xf numFmtId="164" fontId="29" fillId="0" borderId="11" xfId="0" applyNumberFormat="1" applyFont="1" applyBorder="1" applyAlignment="1">
      <alignment horizontal="center"/>
    </xf>
    <xf numFmtId="0" fontId="46" fillId="0" borderId="0" xfId="0" applyFont="1" applyAlignment="1">
      <alignment horizontal="right"/>
    </xf>
    <xf numFmtId="2" fontId="29" fillId="0" borderId="0" xfId="0" applyNumberFormat="1" applyFont="1" applyAlignment="1">
      <alignment horizontal="center"/>
    </xf>
    <xf numFmtId="170" fontId="29" fillId="0" borderId="0" xfId="0" applyNumberFormat="1" applyFont="1" applyAlignment="1">
      <alignment horizontal="center"/>
    </xf>
    <xf numFmtId="0" fontId="42" fillId="0" borderId="0" xfId="0" applyFont="1" applyAlignment="1">
      <alignment horizontal="center"/>
    </xf>
    <xf numFmtId="0" fontId="26" fillId="0" borderId="0" xfId="1" applyAlignment="1" applyProtection="1">
      <alignment horizontal="center"/>
    </xf>
    <xf numFmtId="0" fontId="29" fillId="0" borderId="0" xfId="0" applyFont="1" applyAlignment="1">
      <alignment horizontal="right"/>
    </xf>
    <xf numFmtId="164" fontId="29" fillId="0" borderId="0" xfId="0" applyNumberFormat="1" applyFont="1" applyAlignment="1">
      <alignment horizontal="center"/>
    </xf>
    <xf numFmtId="165" fontId="29" fillId="0" borderId="0" xfId="0" applyNumberFormat="1" applyFont="1" applyAlignment="1">
      <alignment horizontal="center"/>
    </xf>
    <xf numFmtId="0" fontId="42" fillId="0" borderId="0" xfId="0" applyFont="1" applyAlignment="1">
      <alignment horizontal="right"/>
    </xf>
    <xf numFmtId="165" fontId="29" fillId="0" borderId="0" xfId="0" applyNumberFormat="1" applyFont="1" applyFill="1" applyAlignment="1">
      <alignment horizontal="center"/>
    </xf>
    <xf numFmtId="0" fontId="48" fillId="0" borderId="0" xfId="0" applyFont="1" applyAlignment="1">
      <alignment horizontal="right"/>
    </xf>
    <xf numFmtId="164" fontId="49" fillId="0" borderId="0" xfId="0" applyNumberFormat="1" applyFont="1" applyAlignment="1">
      <alignment horizontal="center"/>
    </xf>
    <xf numFmtId="165" fontId="29" fillId="0" borderId="11" xfId="0" applyNumberFormat="1" applyFont="1" applyBorder="1" applyAlignment="1">
      <alignment horizontal="center"/>
    </xf>
    <xf numFmtId="0" fontId="29" fillId="0" borderId="0" xfId="0" applyFont="1" applyBorder="1" applyAlignment="1">
      <alignment horizontal="center"/>
    </xf>
    <xf numFmtId="0" fontId="43" fillId="0" borderId="0" xfId="0" applyFont="1" applyAlignment="1">
      <alignment horizontal="right"/>
    </xf>
    <xf numFmtId="0" fontId="29" fillId="0" borderId="13" xfId="0" applyFont="1" applyBorder="1" applyAlignment="1">
      <alignment horizontal="center"/>
    </xf>
    <xf numFmtId="0" fontId="46" fillId="0" borderId="14" xfId="0" applyFont="1" applyBorder="1" applyAlignment="1">
      <alignment horizontal="right"/>
    </xf>
    <xf numFmtId="164" fontId="50" fillId="2" borderId="15" xfId="0" applyNumberFormat="1" applyFont="1" applyFill="1" applyBorder="1" applyAlignment="1">
      <alignment horizontal="center"/>
    </xf>
    <xf numFmtId="0" fontId="29" fillId="0" borderId="14" xfId="0" applyFont="1" applyBorder="1" applyAlignment="1">
      <alignment horizontal="center"/>
    </xf>
    <xf numFmtId="165" fontId="50" fillId="2" borderId="15" xfId="0" applyNumberFormat="1" applyFont="1" applyFill="1" applyBorder="1" applyAlignment="1">
      <alignment horizontal="center"/>
    </xf>
    <xf numFmtId="0" fontId="29" fillId="0" borderId="16" xfId="0" applyFont="1" applyBorder="1" applyAlignment="1">
      <alignment horizontal="center"/>
    </xf>
    <xf numFmtId="0" fontId="46" fillId="0" borderId="17" xfId="0" applyFont="1" applyBorder="1" applyAlignment="1">
      <alignment horizontal="right"/>
    </xf>
    <xf numFmtId="0" fontId="29" fillId="0" borderId="17" xfId="0" applyFont="1" applyBorder="1" applyAlignment="1">
      <alignment horizontal="center"/>
    </xf>
    <xf numFmtId="0" fontId="29" fillId="0" borderId="18" xfId="0" applyFont="1" applyBorder="1" applyAlignment="1">
      <alignment horizontal="right"/>
    </xf>
    <xf numFmtId="2" fontId="50" fillId="2" borderId="15" xfId="0" applyNumberFormat="1" applyFont="1" applyFill="1" applyBorder="1" applyAlignment="1">
      <alignment horizontal="center"/>
    </xf>
    <xf numFmtId="0" fontId="29" fillId="0" borderId="19" xfId="0" applyFont="1" applyBorder="1" applyAlignment="1">
      <alignment horizontal="center"/>
    </xf>
    <xf numFmtId="0" fontId="29" fillId="0" borderId="0" xfId="0" applyFont="1" applyBorder="1" applyAlignment="1">
      <alignment horizontal="right"/>
    </xf>
    <xf numFmtId="0" fontId="29" fillId="0" borderId="20" xfId="0" applyFont="1" applyBorder="1" applyAlignment="1">
      <alignment horizontal="right"/>
    </xf>
    <xf numFmtId="0" fontId="46" fillId="0" borderId="0" xfId="0" applyFont="1" applyBorder="1" applyAlignment="1">
      <alignment horizontal="right"/>
    </xf>
    <xf numFmtId="0" fontId="46" fillId="0" borderId="20" xfId="0" applyFont="1" applyBorder="1" applyAlignment="1">
      <alignment horizontal="right"/>
    </xf>
    <xf numFmtId="165" fontId="50" fillId="0" borderId="17" xfId="0" applyNumberFormat="1" applyFont="1" applyFill="1" applyBorder="1" applyAlignment="1">
      <alignment horizontal="center"/>
    </xf>
    <xf numFmtId="165" fontId="50" fillId="0" borderId="20" xfId="0" applyNumberFormat="1" applyFont="1" applyFill="1" applyBorder="1" applyAlignment="1">
      <alignment horizontal="center"/>
    </xf>
    <xf numFmtId="0" fontId="50" fillId="0" borderId="0" xfId="0" applyFont="1" applyAlignment="1">
      <alignment horizontal="center"/>
    </xf>
    <xf numFmtId="0" fontId="43" fillId="0" borderId="0" xfId="0" applyFont="1" applyBorder="1" applyAlignment="1">
      <alignment horizontal="right"/>
    </xf>
    <xf numFmtId="171" fontId="50" fillId="2" borderId="15" xfId="0" applyNumberFormat="1" applyFont="1" applyFill="1" applyBorder="1" applyAlignment="1">
      <alignment horizontal="center"/>
    </xf>
    <xf numFmtId="0" fontId="29" fillId="0" borderId="20" xfId="0" applyFont="1" applyBorder="1" applyAlignment="1">
      <alignment horizontal="center"/>
    </xf>
    <xf numFmtId="0" fontId="50" fillId="0" borderId="11" xfId="0" applyFont="1" applyBorder="1" applyAlignment="1">
      <alignment horizontal="center"/>
    </xf>
    <xf numFmtId="0" fontId="30" fillId="0" borderId="0" xfId="0" applyFont="1" applyAlignment="1">
      <alignment horizontal="left"/>
    </xf>
    <xf numFmtId="21" fontId="50" fillId="2" borderId="15" xfId="0" applyNumberFormat="1" applyFont="1" applyFill="1" applyBorder="1" applyAlignment="1">
      <alignment horizontal="center"/>
    </xf>
    <xf numFmtId="164" fontId="29" fillId="0" borderId="17" xfId="0" applyNumberFormat="1" applyFont="1" applyBorder="1" applyAlignment="1">
      <alignment horizontal="center"/>
    </xf>
    <xf numFmtId="0" fontId="29" fillId="0" borderId="21" xfId="0" applyFont="1" applyBorder="1" applyAlignment="1">
      <alignment horizontal="center"/>
    </xf>
    <xf numFmtId="0" fontId="29" fillId="0" borderId="0" xfId="0" applyNumberFormat="1" applyFont="1" applyAlignment="1">
      <alignment horizontal="center"/>
    </xf>
    <xf numFmtId="165" fontId="50" fillId="0" borderId="11" xfId="0" applyNumberFormat="1" applyFont="1" applyBorder="1" applyAlignment="1">
      <alignment horizontal="center"/>
    </xf>
    <xf numFmtId="0" fontId="51" fillId="0" borderId="0" xfId="0" applyNumberFormat="1" applyFont="1" applyAlignment="1">
      <alignment horizontal="center"/>
    </xf>
    <xf numFmtId="0" fontId="51" fillId="0" borderId="0" xfId="0" applyFont="1" applyAlignment="1">
      <alignment horizontal="center"/>
    </xf>
    <xf numFmtId="21" fontId="52" fillId="0" borderId="0" xfId="0" applyNumberFormat="1" applyFont="1" applyAlignment="1">
      <alignment horizontal="center"/>
    </xf>
    <xf numFmtId="0" fontId="52" fillId="0" borderId="0" xfId="0" applyFont="1" applyAlignment="1">
      <alignment horizontal="center"/>
    </xf>
    <xf numFmtId="164" fontId="52" fillId="0" borderId="0" xfId="0" applyNumberFormat="1" applyFont="1" applyAlignment="1">
      <alignment horizontal="center"/>
    </xf>
    <xf numFmtId="0" fontId="29" fillId="0" borderId="0" xfId="0" applyFont="1" applyAlignment="1">
      <alignment horizontal="left"/>
    </xf>
    <xf numFmtId="0" fontId="49" fillId="0" borderId="0" xfId="0" applyFont="1" applyAlignment="1">
      <alignment horizontal="center"/>
    </xf>
    <xf numFmtId="171" fontId="49" fillId="0" borderId="0" xfId="0" applyNumberFormat="1" applyFont="1" applyAlignment="1">
      <alignment horizontal="center"/>
    </xf>
    <xf numFmtId="168" fontId="19" fillId="0" borderId="0" xfId="0" applyNumberFormat="1" applyFont="1" applyAlignment="1">
      <alignment horizontal="right"/>
    </xf>
    <xf numFmtId="168" fontId="19" fillId="0" borderId="0" xfId="0" applyNumberFormat="1" applyFont="1" applyAlignment="1">
      <alignment horizontal="left"/>
    </xf>
    <xf numFmtId="166" fontId="3" fillId="4" borderId="0" xfId="0" applyNumberFormat="1" applyFont="1" applyFill="1" applyAlignment="1">
      <alignment horizontal="right"/>
    </xf>
    <xf numFmtId="1" fontId="3" fillId="4" borderId="0" xfId="0" applyNumberFormat="1" applyFont="1" applyFill="1" applyAlignment="1">
      <alignment horizontal="left"/>
    </xf>
    <xf numFmtId="1" fontId="53" fillId="2" borderId="1" xfId="0" applyNumberFormat="1" applyFont="1" applyFill="1" applyBorder="1" applyAlignment="1">
      <alignment horizontal="center"/>
    </xf>
    <xf numFmtId="0" fontId="8" fillId="0" borderId="0" xfId="0" applyFont="1" applyAlignment="1">
      <alignment horizontal="left"/>
    </xf>
    <xf numFmtId="165" fontId="12" fillId="2" borderId="1" xfId="0" applyNumberFormat="1" applyFont="1" applyFill="1" applyBorder="1" applyAlignment="1">
      <alignment horizontal="center"/>
    </xf>
    <xf numFmtId="1" fontId="12" fillId="2" borderId="1" xfId="0" applyNumberFormat="1" applyFont="1" applyFill="1" applyBorder="1" applyAlignment="1">
      <alignment horizontal="center"/>
    </xf>
    <xf numFmtId="166" fontId="12" fillId="2" borderId="1" xfId="0" applyNumberFormat="1" applyFont="1" applyFill="1" applyBorder="1" applyAlignment="1">
      <alignment horizontal="center"/>
    </xf>
    <xf numFmtId="168" fontId="3" fillId="2" borderId="1" xfId="0" applyNumberFormat="1" applyFont="1" applyFill="1" applyBorder="1" applyAlignment="1">
      <alignment horizontal="center"/>
    </xf>
    <xf numFmtId="168" fontId="8" fillId="0" borderId="0" xfId="0" applyNumberFormat="1" applyFont="1" applyBorder="1" applyAlignment="1">
      <alignment horizontal="center"/>
    </xf>
    <xf numFmtId="0" fontId="8" fillId="0" borderId="4" xfId="0" applyFont="1" applyBorder="1" applyAlignment="1">
      <alignment horizontal="left"/>
    </xf>
    <xf numFmtId="0" fontId="8" fillId="0" borderId="4" xfId="0" applyFont="1" applyFill="1" applyBorder="1" applyAlignment="1">
      <alignment horizontal="left"/>
    </xf>
    <xf numFmtId="169" fontId="8" fillId="0" borderId="0" xfId="0" applyNumberFormat="1" applyFont="1" applyAlignment="1">
      <alignment horizontal="left"/>
    </xf>
    <xf numFmtId="0" fontId="8" fillId="0" borderId="0" xfId="0" applyNumberFormat="1" applyFont="1" applyFill="1" applyAlignment="1">
      <alignment horizontal="left"/>
    </xf>
    <xf numFmtId="0" fontId="8" fillId="0" borderId="4" xfId="0" applyNumberFormat="1" applyFont="1" applyFill="1" applyBorder="1" applyAlignment="1">
      <alignment horizontal="left"/>
    </xf>
    <xf numFmtId="167" fontId="1" fillId="0" borderId="0" xfId="0" applyNumberFormat="1" applyFont="1" applyBorder="1" applyAlignment="1">
      <alignment horizontal="center"/>
    </xf>
    <xf numFmtId="166" fontId="1" fillId="0" borderId="0" xfId="0" applyNumberFormat="1" applyFont="1" applyBorder="1" applyAlignment="1">
      <alignment horizontal="center"/>
    </xf>
    <xf numFmtId="0" fontId="2" fillId="0" borderId="4" xfId="0" applyFont="1" applyBorder="1"/>
    <xf numFmtId="1" fontId="15" fillId="0" borderId="4" xfId="0" applyNumberFormat="1" applyFont="1" applyBorder="1"/>
    <xf numFmtId="0" fontId="27" fillId="0" borderId="22" xfId="0" applyFont="1" applyBorder="1" applyAlignment="1">
      <alignment horizontal="center"/>
    </xf>
    <xf numFmtId="0" fontId="0" fillId="0" borderId="22" xfId="0" applyBorder="1" applyAlignment="1">
      <alignment horizontal="center"/>
    </xf>
    <xf numFmtId="0" fontId="0" fillId="0" borderId="0" xfId="0" applyBorder="1" applyAlignment="1">
      <alignment horizontal="center"/>
    </xf>
    <xf numFmtId="0" fontId="28" fillId="0" borderId="22" xfId="0" applyFont="1" applyBorder="1" applyAlignment="1">
      <alignment horizontal="center"/>
    </xf>
    <xf numFmtId="0" fontId="41" fillId="6" borderId="11" xfId="0" applyFont="1" applyFill="1" applyBorder="1" applyAlignment="1">
      <alignment horizontal="center"/>
    </xf>
    <xf numFmtId="0" fontId="0" fillId="0" borderId="11" xfId="0" applyBorder="1" applyAlignment="1">
      <alignment horizontal="center"/>
    </xf>
    <xf numFmtId="0" fontId="34" fillId="3" borderId="11" xfId="0" applyFont="1" applyFill="1" applyBorder="1" applyAlignment="1">
      <alignment horizontal="center"/>
    </xf>
    <xf numFmtId="0" fontId="47" fillId="3" borderId="11" xfId="0" applyFont="1" applyFill="1" applyBorder="1" applyAlignment="1">
      <alignment horizontal="center"/>
    </xf>
    <xf numFmtId="0" fontId="34" fillId="6" borderId="11" xfId="0" applyFont="1" applyFill="1" applyBorder="1" applyAlignment="1">
      <alignment horizontal="center"/>
    </xf>
  </cellXfs>
  <cellStyles count="2">
    <cellStyle name="Hyperlink_TimeSpeedWattSaving" xfId="1"/>
    <cellStyle name="Normal" xfId="0" builtinId="0"/>
  </cellStyles>
  <dxfs count="142">
    <dxf>
      <fill>
        <patternFill>
          <bgColor rgb="FFFF0000"/>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ont>
        <condense val="0"/>
        <extend val="0"/>
        <color indexed="10"/>
      </font>
    </dxf>
    <dxf>
      <font>
        <condense val="0"/>
        <extend val="0"/>
        <color indexed="10"/>
      </font>
    </dxf>
    <dxf>
      <font>
        <condense val="0"/>
        <extend val="0"/>
        <color indexed="10"/>
      </font>
    </dxf>
    <dxf>
      <font>
        <condense val="0"/>
        <extend val="0"/>
        <color indexed="10"/>
      </font>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2"/>
  <sheetViews>
    <sheetView workbookViewId="0"/>
  </sheetViews>
  <sheetFormatPr defaultRowHeight="12.75" x14ac:dyDescent="0.2"/>
  <sheetData>
    <row r="1" spans="1:1" x14ac:dyDescent="0.2">
      <c r="A1">
        <v>-1</v>
      </c>
    </row>
    <row r="32" spans="1:1" x14ac:dyDescent="0.2">
      <c r="A32" t="s">
        <v>0</v>
      </c>
    </row>
  </sheetData>
  <customSheetViews>
    <customSheetView guid="{713535A1-63D1-469B-A76D-6F7E59A77D5A}" state="veryHidden">
      <pageMargins left="0.75" right="0.75" top="1" bottom="1" header="0.5" footer="0.5"/>
      <headerFooter alignWithMargins="0"/>
    </customSheetView>
    <customSheetView guid="{9CC97356-07AB-46FE-A8EE-09110414999D}" state="veryHidden">
      <pageMargins left="0.75" right="0.75" top="1" bottom="1" header="0.5" footer="0.5"/>
      <headerFooter alignWithMargins="0"/>
    </customSheetView>
  </customSheetView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X364"/>
  <sheetViews>
    <sheetView tabSelected="1" zoomScale="95" zoomScaleNormal="95" workbookViewId="0">
      <pane xSplit="5" ySplit="3" topLeftCell="F67" activePane="bottomRight" state="frozen"/>
      <selection pane="topRight" activeCell="F1" sqref="F1"/>
      <selection pane="bottomLeft" activeCell="A4" sqref="A4"/>
      <selection pane="bottomRight" activeCell="A80" sqref="A80"/>
    </sheetView>
  </sheetViews>
  <sheetFormatPr defaultRowHeight="12.75" x14ac:dyDescent="0.2"/>
  <cols>
    <col min="1" max="1" width="50.7109375" style="3" customWidth="1"/>
    <col min="2" max="2" width="4.42578125" style="24" customWidth="1"/>
    <col min="3" max="3" width="6" style="22" customWidth="1"/>
    <col min="4" max="4" width="4.42578125" style="37" customWidth="1"/>
    <col min="5" max="5" width="4.42578125" style="33" customWidth="1"/>
    <col min="6" max="9" width="7.5703125" style="33" customWidth="1"/>
    <col min="10" max="12" width="7.5703125" style="33" hidden="1" customWidth="1"/>
    <col min="13" max="16" width="7.5703125" style="33" customWidth="1"/>
    <col min="17" max="18" width="9.28515625" style="33" customWidth="1"/>
    <col min="19" max="20" width="7.5703125" style="33" customWidth="1"/>
    <col min="21" max="21" width="8.140625" style="33" customWidth="1"/>
    <col min="22" max="23" width="18.85546875" style="33" customWidth="1"/>
    <col min="24" max="24" width="1.28515625" style="33" hidden="1" customWidth="1"/>
    <col min="25" max="25" width="0.5703125" style="33" hidden="1" customWidth="1"/>
    <col min="26" max="26" width="0" style="10" hidden="1" customWidth="1"/>
    <col min="27" max="28" width="0" style="6" hidden="1" customWidth="1"/>
    <col min="29" max="29" width="11.5703125" style="2" customWidth="1"/>
    <col min="30" max="30" width="11.28515625" customWidth="1"/>
    <col min="31" max="31" width="13.28515625" customWidth="1"/>
    <col min="32" max="32" width="11.42578125" customWidth="1"/>
    <col min="33" max="33" width="13.5703125" customWidth="1"/>
    <col min="42" max="42" width="11.28515625" customWidth="1"/>
    <col min="43" max="43" width="11.7109375" customWidth="1"/>
    <col min="44" max="16384" width="9.140625" style="2"/>
  </cols>
  <sheetData>
    <row r="1" spans="1:50" ht="13.5" thickBot="1" x14ac:dyDescent="0.25">
      <c r="A1" s="61">
        <v>0</v>
      </c>
      <c r="D1" s="34"/>
      <c r="E1" s="29"/>
      <c r="F1" s="69"/>
      <c r="G1" s="69" t="s">
        <v>34</v>
      </c>
      <c r="H1" s="69">
        <v>3.79</v>
      </c>
      <c r="I1" s="69"/>
      <c r="J1" s="69"/>
      <c r="K1" s="69"/>
      <c r="L1" s="69"/>
      <c r="M1" s="69"/>
      <c r="N1" s="69" t="s">
        <v>35</v>
      </c>
      <c r="O1" s="69">
        <v>30</v>
      </c>
      <c r="P1" s="69"/>
      <c r="Q1" s="70"/>
      <c r="R1" s="70"/>
      <c r="S1" s="69" t="s">
        <v>36</v>
      </c>
      <c r="T1" s="69">
        <v>70</v>
      </c>
      <c r="U1" s="71"/>
      <c r="V1" s="140" t="s">
        <v>37</v>
      </c>
      <c r="W1" s="141" t="s">
        <v>108</v>
      </c>
      <c r="X1" s="63" t="s">
        <v>31</v>
      </c>
      <c r="Y1" s="62"/>
      <c r="Z1" s="57"/>
      <c r="AA1" s="58"/>
      <c r="AB1" s="58"/>
      <c r="AC1" s="69"/>
      <c r="AD1" s="142">
        <v>0</v>
      </c>
      <c r="AE1" s="142">
        <v>0</v>
      </c>
      <c r="AF1" s="142">
        <v>0</v>
      </c>
      <c r="AG1" s="142">
        <v>0</v>
      </c>
    </row>
    <row r="2" spans="1:50" ht="13.5" thickBot="1" x14ac:dyDescent="0.25">
      <c r="A2" s="151">
        <v>43616</v>
      </c>
      <c r="D2" s="34"/>
      <c r="E2" s="30"/>
      <c r="F2" s="30"/>
      <c r="G2" s="46"/>
      <c r="H2" s="8"/>
      <c r="I2" s="8"/>
      <c r="J2" s="51" t="s">
        <v>25</v>
      </c>
      <c r="K2" s="8"/>
      <c r="L2" s="8"/>
      <c r="M2" s="8"/>
      <c r="N2" s="48"/>
      <c r="O2" s="8"/>
      <c r="P2" s="8"/>
      <c r="Q2" s="66" t="s">
        <v>14</v>
      </c>
      <c r="R2" s="67" t="s">
        <v>14</v>
      </c>
      <c r="S2" s="4"/>
      <c r="T2" s="4"/>
      <c r="U2" s="68" t="s">
        <v>26</v>
      </c>
      <c r="V2" s="138">
        <v>30</v>
      </c>
      <c r="W2" s="139" t="s">
        <v>27</v>
      </c>
      <c r="X2" s="64" t="s">
        <v>29</v>
      </c>
      <c r="Y2" s="64" t="s">
        <v>30</v>
      </c>
      <c r="Z2" s="9"/>
      <c r="AA2" s="11"/>
      <c r="AB2" s="13"/>
      <c r="AC2" s="48"/>
      <c r="AD2" s="142">
        <v>0</v>
      </c>
      <c r="AE2" s="142">
        <v>0</v>
      </c>
      <c r="AF2" s="142">
        <v>0</v>
      </c>
      <c r="AG2" s="142">
        <v>0</v>
      </c>
    </row>
    <row r="3" spans="1:50" s="38" customFormat="1" ht="56.25" customHeight="1" thickBot="1" x14ac:dyDescent="0.25">
      <c r="A3" s="39" t="s">
        <v>2</v>
      </c>
      <c r="B3" s="40" t="s">
        <v>6</v>
      </c>
      <c r="C3" s="41" t="s">
        <v>7</v>
      </c>
      <c r="D3" s="42" t="s">
        <v>3</v>
      </c>
      <c r="E3" s="43" t="s">
        <v>1</v>
      </c>
      <c r="F3" s="14" t="s">
        <v>15</v>
      </c>
      <c r="G3" s="47" t="s">
        <v>8</v>
      </c>
      <c r="H3" s="14" t="s">
        <v>16</v>
      </c>
      <c r="I3" s="47" t="s">
        <v>17</v>
      </c>
      <c r="J3" s="52" t="s">
        <v>18</v>
      </c>
      <c r="K3" s="52" t="s">
        <v>19</v>
      </c>
      <c r="L3" s="52" t="s">
        <v>20</v>
      </c>
      <c r="M3" s="53" t="s">
        <v>10</v>
      </c>
      <c r="N3" s="54" t="s">
        <v>9</v>
      </c>
      <c r="O3" s="53" t="s">
        <v>21</v>
      </c>
      <c r="P3" s="54" t="s">
        <v>22</v>
      </c>
      <c r="Q3" s="55" t="s">
        <v>11</v>
      </c>
      <c r="R3" s="55" t="s">
        <v>23</v>
      </c>
      <c r="S3" s="56" t="s">
        <v>5</v>
      </c>
      <c r="T3" s="56" t="s">
        <v>4</v>
      </c>
      <c r="U3" s="56" t="s">
        <v>24</v>
      </c>
      <c r="V3" s="16" t="s">
        <v>11</v>
      </c>
      <c r="W3" s="16" t="s">
        <v>28</v>
      </c>
      <c r="X3" s="65" t="s">
        <v>32</v>
      </c>
      <c r="Y3" s="65" t="s">
        <v>33</v>
      </c>
      <c r="Z3" s="44" t="s">
        <v>12</v>
      </c>
      <c r="AA3" s="45" t="s">
        <v>13</v>
      </c>
      <c r="AB3"/>
      <c r="AC3" s="54" t="s">
        <v>109</v>
      </c>
      <c r="AD3"/>
      <c r="AE3"/>
      <c r="AF3"/>
      <c r="AG3"/>
      <c r="AH3"/>
      <c r="AI3"/>
      <c r="AJ3"/>
      <c r="AK3"/>
      <c r="AL3"/>
      <c r="AM3"/>
      <c r="AN3"/>
      <c r="AO3"/>
      <c r="AP3"/>
      <c r="AQ3"/>
    </row>
    <row r="4" spans="1:50" s="5" customFormat="1" x14ac:dyDescent="0.2">
      <c r="A4" s="152" t="s">
        <v>110</v>
      </c>
      <c r="B4" s="28" t="s">
        <v>111</v>
      </c>
      <c r="C4" s="144">
        <v>0</v>
      </c>
      <c r="D4" s="145">
        <v>1</v>
      </c>
      <c r="E4" s="146" t="s">
        <v>112</v>
      </c>
      <c r="F4" s="7">
        <v>0.13920547660310573</v>
      </c>
      <c r="G4" s="7">
        <v>0.52758875632577062</v>
      </c>
      <c r="H4" s="7">
        <v>1.8563360865911378E-2</v>
      </c>
      <c r="I4" s="7">
        <v>7.0355137681804125E-2</v>
      </c>
      <c r="J4" s="147">
        <v>433.17033330138582</v>
      </c>
      <c r="K4" s="147">
        <v>92.293558111529606</v>
      </c>
      <c r="L4" s="147">
        <v>-21.909494109725934</v>
      </c>
      <c r="M4" s="7">
        <v>0.13920516946707445</v>
      </c>
      <c r="N4" s="7">
        <v>0.52758759228021224</v>
      </c>
      <c r="O4" s="7">
        <v>1.8565663914305426E-2</v>
      </c>
      <c r="P4" s="7">
        <v>7.0363866235217565E-2</v>
      </c>
      <c r="Q4" s="147">
        <v>551.11551373710677</v>
      </c>
      <c r="R4" s="147">
        <v>73.501763225991283</v>
      </c>
      <c r="S4" s="7">
        <v>2.2067921164726876</v>
      </c>
      <c r="T4" s="7">
        <v>0.42419448461086107</v>
      </c>
      <c r="U4" s="147">
        <v>29.623344916199709</v>
      </c>
      <c r="V4" s="147">
        <f>IF(ISERR(AVERAGE(V5:V6)),"",AVERAGE(V5:V6))</f>
        <v>551.11551373710677</v>
      </c>
      <c r="W4" s="147">
        <f>IF(ISERR(AVERAGE(W5:W6)),"",AVERAGE(W5:W6))</f>
        <v>72.511682047290591</v>
      </c>
      <c r="X4" s="7">
        <v>111.0314706261864</v>
      </c>
      <c r="Y4" s="7">
        <v>207.39272062618642</v>
      </c>
      <c r="Z4" s="7" t="s">
        <v>113</v>
      </c>
      <c r="AA4" s="7" t="s">
        <v>113</v>
      </c>
      <c r="AB4" s="12"/>
      <c r="AC4" s="7">
        <f>IF(ISERR(M4*0.314),"",(M4*0.314))</f>
        <v>4.371042321266138E-2</v>
      </c>
      <c r="AD4"/>
      <c r="AE4"/>
      <c r="AF4"/>
      <c r="AG4"/>
      <c r="AH4"/>
      <c r="AI4"/>
      <c r="AJ4"/>
      <c r="AK4"/>
      <c r="AL4"/>
      <c r="AM4"/>
      <c r="AN4"/>
      <c r="AO4"/>
      <c r="AP4"/>
      <c r="AQ4"/>
    </row>
    <row r="5" spans="1:50" s="19" customFormat="1" x14ac:dyDescent="0.2">
      <c r="A5" s="152" t="s">
        <v>114</v>
      </c>
      <c r="B5" s="49" t="s">
        <v>111</v>
      </c>
      <c r="C5" s="26">
        <v>9.4791600000000004E-4</v>
      </c>
      <c r="D5" s="35"/>
      <c r="E5" s="31">
        <v>1</v>
      </c>
      <c r="F5" s="60">
        <v>0.13766411063134626</v>
      </c>
      <c r="G5" s="60">
        <v>0.52174697929280234</v>
      </c>
      <c r="H5" s="60">
        <v>1.7894945315170354E-2</v>
      </c>
      <c r="I5" s="60">
        <v>6.7821842744495639E-2</v>
      </c>
      <c r="J5" s="148">
        <v>434.14695710562705</v>
      </c>
      <c r="K5" s="148">
        <v>91.223108515245841</v>
      </c>
      <c r="L5" s="148">
        <v>-22.265602769922488</v>
      </c>
      <c r="M5" s="60">
        <v>0.13766381455396343</v>
      </c>
      <c r="N5" s="60">
        <v>0.52174585715952138</v>
      </c>
      <c r="O5" s="60">
        <v>1.7897222862903833E-2</v>
      </c>
      <c r="P5" s="60">
        <v>6.7830474650405523E-2</v>
      </c>
      <c r="Q5" s="59">
        <v>545.01326474705525</v>
      </c>
      <c r="R5" s="59">
        <v>70.855394309833372</v>
      </c>
      <c r="S5" s="60">
        <v>2.2415502925010173</v>
      </c>
      <c r="T5" s="60">
        <v>0.43087577844741776</v>
      </c>
      <c r="U5" s="60">
        <v>29.856651283481103</v>
      </c>
      <c r="V5" s="154">
        <f>IF(ISERR(Q5*($V$2/30)^2),"",(Q5*($V$2/30)^2))</f>
        <v>545.01326474705525</v>
      </c>
      <c r="W5" s="155">
        <f>IF(ISERR(((V5/453.59)*$V$2/375)*746),"",(((V5/453.59)*$V$2/375)*746))</f>
        <v>71.70879349214988</v>
      </c>
      <c r="X5" s="60">
        <v>116.00637290813378</v>
      </c>
      <c r="Y5" s="60">
        <v>212.3676229081338</v>
      </c>
      <c r="Z5" s="18" t="s">
        <v>113</v>
      </c>
      <c r="AA5" s="17" t="s">
        <v>113</v>
      </c>
      <c r="AB5" s="17"/>
      <c r="AC5" s="60">
        <f t="shared" ref="AC5:AC68" si="0">IF(ISERR(M5*0.314),"",(M5*0.314))</f>
        <v>4.3226437769944517E-2</v>
      </c>
      <c r="AD5"/>
      <c r="AE5"/>
      <c r="AF5"/>
      <c r="AG5"/>
      <c r="AH5"/>
      <c r="AI5"/>
      <c r="AJ5"/>
      <c r="AK5"/>
      <c r="AL5"/>
      <c r="AM5"/>
      <c r="AN5"/>
      <c r="AO5"/>
      <c r="AP5"/>
      <c r="AQ5"/>
      <c r="AR5" s="1"/>
      <c r="AT5" s="1"/>
      <c r="AU5" s="1"/>
      <c r="AV5" s="1"/>
      <c r="AW5" s="1"/>
      <c r="AX5" s="1"/>
    </row>
    <row r="6" spans="1:50" s="19" customFormat="1" ht="13.5" thickBot="1" x14ac:dyDescent="0.25">
      <c r="A6" s="153" t="s">
        <v>114</v>
      </c>
      <c r="B6" s="50" t="s">
        <v>111</v>
      </c>
      <c r="C6" s="27">
        <v>9.4791600000000004E-4</v>
      </c>
      <c r="D6" s="36"/>
      <c r="E6" s="32">
        <v>2</v>
      </c>
      <c r="F6" s="60">
        <v>0.14074684257486517</v>
      </c>
      <c r="G6" s="60">
        <v>0.53343053335873902</v>
      </c>
      <c r="H6" s="60">
        <v>1.9231776416652406E-2</v>
      </c>
      <c r="I6" s="60">
        <v>7.2888432619112625E-2</v>
      </c>
      <c r="J6" s="148">
        <v>432.1937094971446</v>
      </c>
      <c r="K6" s="148">
        <v>93.364007707813371</v>
      </c>
      <c r="L6" s="148">
        <v>-21.553385449529376</v>
      </c>
      <c r="M6" s="60">
        <v>0.14074652438018551</v>
      </c>
      <c r="N6" s="60">
        <v>0.5334293274009031</v>
      </c>
      <c r="O6" s="60">
        <v>1.9234104965707016E-2</v>
      </c>
      <c r="P6" s="60">
        <v>7.2897257820029593E-2</v>
      </c>
      <c r="Q6" s="59">
        <v>557.21776272715829</v>
      </c>
      <c r="R6" s="59">
        <v>76.148132142149194</v>
      </c>
      <c r="S6" s="60">
        <v>2.1720339404443583</v>
      </c>
      <c r="T6" s="60">
        <v>0.41751319077430443</v>
      </c>
      <c r="U6" s="60">
        <v>29.390038548918316</v>
      </c>
      <c r="V6" s="154">
        <f>IF(ISERR(Q6*($V$2/30)^2),"",(Q6*($V$2/30)^2))</f>
        <v>557.21776272715829</v>
      </c>
      <c r="W6" s="155">
        <f>IF(ISERR(((V6/453.59)*$V$2/375)*746),"",(((V6/453.59)*$V$2/375)*746))</f>
        <v>73.314570602431303</v>
      </c>
      <c r="X6" s="60">
        <v>106.05656834423901</v>
      </c>
      <c r="Y6" s="60">
        <v>202.41781834423901</v>
      </c>
      <c r="Z6" s="20" t="s">
        <v>113</v>
      </c>
      <c r="AA6" s="21" t="s">
        <v>113</v>
      </c>
      <c r="AB6" s="21"/>
      <c r="AC6" s="60">
        <f t="shared" si="0"/>
        <v>4.4194408655378249E-2</v>
      </c>
      <c r="AD6"/>
      <c r="AE6"/>
      <c r="AF6"/>
      <c r="AG6"/>
      <c r="AH6"/>
      <c r="AI6"/>
      <c r="AJ6"/>
      <c r="AK6"/>
      <c r="AL6"/>
      <c r="AM6"/>
      <c r="AN6"/>
      <c r="AO6"/>
      <c r="AP6"/>
      <c r="AQ6"/>
      <c r="AR6" s="25"/>
      <c r="AT6" s="25"/>
      <c r="AU6" s="1"/>
      <c r="AV6" s="1"/>
      <c r="AW6" s="1"/>
      <c r="AX6" s="1"/>
    </row>
    <row r="7" spans="1:50" s="1" customFormat="1" x14ac:dyDescent="0.2">
      <c r="A7" s="152" t="s">
        <v>114</v>
      </c>
      <c r="B7" s="28" t="s">
        <v>111</v>
      </c>
      <c r="C7" s="144">
        <v>5</v>
      </c>
      <c r="D7" s="145">
        <v>2</v>
      </c>
      <c r="E7" s="146" t="s">
        <v>112</v>
      </c>
      <c r="F7" s="7">
        <v>0.15427502241392893</v>
      </c>
      <c r="G7" s="7">
        <v>0.58470233494879065</v>
      </c>
      <c r="H7" s="7">
        <v>0.19189896035855025</v>
      </c>
      <c r="I7" s="7">
        <v>0.72729705975890546</v>
      </c>
      <c r="J7" s="147">
        <v>479.44453577973565</v>
      </c>
      <c r="K7" s="147">
        <v>852.59067490773714</v>
      </c>
      <c r="L7" s="147">
        <v>-140.88608082935647</v>
      </c>
      <c r="M7" s="7">
        <v>0.13696286295418836</v>
      </c>
      <c r="N7" s="7">
        <v>0.51908925059637379</v>
      </c>
      <c r="O7" s="7">
        <v>0.20461468104440342</v>
      </c>
      <c r="P7" s="7">
        <v>0.775489641158289</v>
      </c>
      <c r="Q7" s="147">
        <v>542.23818604492226</v>
      </c>
      <c r="R7" s="147">
        <v>810.07282627253812</v>
      </c>
      <c r="S7" s="7">
        <v>2.1572926335021094</v>
      </c>
      <c r="T7" s="7">
        <v>0.4146795839954055</v>
      </c>
      <c r="U7" s="147">
        <v>29.290069015270582</v>
      </c>
      <c r="V7" s="147">
        <f>IF(ISERR(AVERAGE(V8:V9)),"",AVERAGE(V8:V9))</f>
        <v>542.23818604492226</v>
      </c>
      <c r="W7" s="147">
        <f>IF(ISERR(AVERAGE(W8:W9)),"",AVERAGE(W8:W9))</f>
        <v>71.343669267754933</v>
      </c>
      <c r="X7" s="7">
        <v>54.487924949906372</v>
      </c>
      <c r="Y7" s="7">
        <v>150.84917494990637</v>
      </c>
      <c r="Z7" s="7" t="s">
        <v>113</v>
      </c>
      <c r="AA7" s="7" t="s">
        <v>113</v>
      </c>
      <c r="AB7" s="12"/>
      <c r="AC7" s="7">
        <f t="shared" si="0"/>
        <v>4.3006338967615146E-2</v>
      </c>
      <c r="AD7"/>
      <c r="AE7"/>
      <c r="AF7"/>
      <c r="AG7"/>
      <c r="AH7"/>
      <c r="AI7"/>
      <c r="AJ7"/>
      <c r="AK7"/>
      <c r="AL7"/>
      <c r="AM7"/>
      <c r="AN7"/>
      <c r="AO7"/>
      <c r="AP7"/>
      <c r="AQ7"/>
      <c r="AR7" s="25"/>
      <c r="AT7" s="25"/>
    </row>
    <row r="8" spans="1:50" s="19" customFormat="1" x14ac:dyDescent="0.2">
      <c r="A8" s="152" t="s">
        <v>114</v>
      </c>
      <c r="B8" s="49" t="s">
        <v>111</v>
      </c>
      <c r="C8" s="26">
        <v>5</v>
      </c>
      <c r="D8" s="35"/>
      <c r="E8" s="31">
        <v>1</v>
      </c>
      <c r="F8" s="60">
        <v>0.15343673365434396</v>
      </c>
      <c r="G8" s="60">
        <v>0.58152522054996358</v>
      </c>
      <c r="H8" s="60">
        <v>0.19030273343481222</v>
      </c>
      <c r="I8" s="60">
        <v>0.7212473597179383</v>
      </c>
      <c r="J8" s="148">
        <v>474.29106956564556</v>
      </c>
      <c r="K8" s="148">
        <v>842.21406439616544</v>
      </c>
      <c r="L8" s="148">
        <v>-139.46427923756164</v>
      </c>
      <c r="M8" s="60">
        <v>0.1362668844795521</v>
      </c>
      <c r="N8" s="60">
        <v>0.51645149217750241</v>
      </c>
      <c r="O8" s="60">
        <v>0.20295146656654564</v>
      </c>
      <c r="P8" s="60">
        <v>0.76918605828720799</v>
      </c>
      <c r="Q8" s="59">
        <v>539.48279602551747</v>
      </c>
      <c r="R8" s="59">
        <v>803.48813329792563</v>
      </c>
      <c r="S8" s="60">
        <v>2.148092673118255</v>
      </c>
      <c r="T8" s="60">
        <v>0.41291114716606458</v>
      </c>
      <c r="U8" s="60">
        <v>29.227613719315837</v>
      </c>
      <c r="V8" s="154">
        <f>IF(ISERR(Q8*($V$2/30)^2),"",(Q8*($V$2/30)^2))</f>
        <v>539.48279602551747</v>
      </c>
      <c r="W8" s="155">
        <f>IF(ISERR(((V8/453.59)*$V$2/375)*746),"",(((V8/453.59)*$V$2/375)*746))</f>
        <v>70.98113553385852</v>
      </c>
      <c r="X8" s="60">
        <v>54.670551727156933</v>
      </c>
      <c r="Y8" s="60">
        <v>151.03180172715693</v>
      </c>
      <c r="Z8" s="18" t="s">
        <v>113</v>
      </c>
      <c r="AA8" s="17" t="s">
        <v>113</v>
      </c>
      <c r="AB8" s="17"/>
      <c r="AC8" s="60">
        <f t="shared" si="0"/>
        <v>4.2787801726579359E-2</v>
      </c>
      <c r="AD8"/>
      <c r="AE8"/>
      <c r="AF8"/>
      <c r="AG8"/>
      <c r="AH8"/>
      <c r="AI8"/>
      <c r="AJ8"/>
      <c r="AK8"/>
      <c r="AL8"/>
      <c r="AM8"/>
      <c r="AN8"/>
      <c r="AO8"/>
      <c r="AP8"/>
      <c r="AQ8"/>
      <c r="AR8" s="25"/>
      <c r="AT8" s="25"/>
      <c r="AU8" s="1"/>
      <c r="AV8" s="1"/>
      <c r="AW8" s="1"/>
      <c r="AX8" s="1"/>
    </row>
    <row r="9" spans="1:50" s="19" customFormat="1" ht="13.5" thickBot="1" x14ac:dyDescent="0.25">
      <c r="A9" s="153" t="s">
        <v>114</v>
      </c>
      <c r="B9" s="50" t="s">
        <v>111</v>
      </c>
      <c r="C9" s="27">
        <v>5</v>
      </c>
      <c r="D9" s="36"/>
      <c r="E9" s="32">
        <v>2</v>
      </c>
      <c r="F9" s="60">
        <v>0.1551133111735139</v>
      </c>
      <c r="G9" s="60">
        <v>0.58787944934761771</v>
      </c>
      <c r="H9" s="60">
        <v>0.19349518728228832</v>
      </c>
      <c r="I9" s="60">
        <v>0.73334675979987274</v>
      </c>
      <c r="J9" s="148">
        <v>484.59800199382573</v>
      </c>
      <c r="K9" s="148">
        <v>862.96728541930872</v>
      </c>
      <c r="L9" s="148">
        <v>-142.30788242115131</v>
      </c>
      <c r="M9" s="60">
        <v>0.13765884142882459</v>
      </c>
      <c r="N9" s="60">
        <v>0.52172700901524516</v>
      </c>
      <c r="O9" s="60">
        <v>0.2062778955222612</v>
      </c>
      <c r="P9" s="60">
        <v>0.7817932240293699</v>
      </c>
      <c r="Q9" s="59">
        <v>544.99357606432704</v>
      </c>
      <c r="R9" s="59">
        <v>816.6575192471505</v>
      </c>
      <c r="S9" s="60">
        <v>2.1664925938859643</v>
      </c>
      <c r="T9" s="60">
        <v>0.41644802082474647</v>
      </c>
      <c r="U9" s="60">
        <v>29.352524311225324</v>
      </c>
      <c r="V9" s="154">
        <f>IF(ISERR(Q9*($V$2/30)^2),"",(Q9*($V$2/30)^2))</f>
        <v>544.99357606432704</v>
      </c>
      <c r="W9" s="155">
        <f>IF(ISERR(((V9/453.59)*$V$2/375)*746),"",(((V9/453.59)*$V$2/375)*746))</f>
        <v>71.70620300165136</v>
      </c>
      <c r="X9" s="60">
        <v>54.305298172655817</v>
      </c>
      <c r="Y9" s="60">
        <v>150.66654817265581</v>
      </c>
      <c r="Z9" s="20" t="s">
        <v>113</v>
      </c>
      <c r="AA9" s="21" t="s">
        <v>113</v>
      </c>
      <c r="AB9" s="21"/>
      <c r="AC9" s="60">
        <f t="shared" si="0"/>
        <v>4.3224876208650918E-2</v>
      </c>
      <c r="AD9"/>
      <c r="AE9"/>
      <c r="AF9"/>
      <c r="AG9"/>
      <c r="AH9"/>
      <c r="AI9"/>
      <c r="AJ9"/>
      <c r="AK9"/>
      <c r="AL9"/>
      <c r="AM9"/>
      <c r="AN9"/>
      <c r="AO9"/>
      <c r="AP9"/>
      <c r="AQ9"/>
      <c r="AR9" s="25"/>
      <c r="AT9" s="25"/>
      <c r="AU9" s="1"/>
      <c r="AV9" s="1"/>
      <c r="AW9" s="1"/>
      <c r="AX9" s="1"/>
    </row>
    <row r="10" spans="1:50" s="1" customFormat="1" x14ac:dyDescent="0.2">
      <c r="A10" s="152" t="s">
        <v>114</v>
      </c>
      <c r="B10" s="28" t="s">
        <v>111</v>
      </c>
      <c r="C10" s="144">
        <v>-5</v>
      </c>
      <c r="D10" s="145">
        <v>3</v>
      </c>
      <c r="E10" s="146" t="s">
        <v>112</v>
      </c>
      <c r="F10" s="7">
        <v>0.16204990616898457</v>
      </c>
      <c r="G10" s="7">
        <v>0.61416914438045156</v>
      </c>
      <c r="H10" s="7">
        <v>-0.15261265029855625</v>
      </c>
      <c r="I10" s="7">
        <v>-0.57840194463152828</v>
      </c>
      <c r="J10" s="147">
        <v>505.41724420112638</v>
      </c>
      <c r="K10" s="147">
        <v>-672.36431326285106</v>
      </c>
      <c r="L10" s="147">
        <v>109.56065013872714</v>
      </c>
      <c r="M10" s="7">
        <v>0.14813218846234799</v>
      </c>
      <c r="N10" s="7">
        <v>0.56142099427229897</v>
      </c>
      <c r="O10" s="7">
        <v>-0.16615549302349752</v>
      </c>
      <c r="P10" s="7">
        <v>-0.62972931855905567</v>
      </c>
      <c r="Q10" s="147">
        <v>586.45772608852917</v>
      </c>
      <c r="R10" s="147">
        <v>-657.81227987762281</v>
      </c>
      <c r="S10" s="7">
        <v>2.1451918301327417</v>
      </c>
      <c r="T10" s="7">
        <v>0.41235354068107144</v>
      </c>
      <c r="U10" s="147">
        <v>29.207857524649647</v>
      </c>
      <c r="V10" s="147">
        <f>IF(ISERR(AVERAGE(V11:V12)),"",AVERAGE(V11:V12))</f>
        <v>586.45772608852917</v>
      </c>
      <c r="W10" s="147">
        <f>IF(ISERR(AVERAGE(W11:W12)),"",AVERAGE(W11:W12))</f>
        <v>77.161747597970475</v>
      </c>
      <c r="X10" s="7">
        <v>51.02089551240249</v>
      </c>
      <c r="Y10" s="7">
        <v>147.38214551240247</v>
      </c>
      <c r="Z10" s="7" t="s">
        <v>113</v>
      </c>
      <c r="AA10" s="7" t="s">
        <v>113</v>
      </c>
      <c r="AB10" s="12"/>
      <c r="AC10" s="7">
        <f t="shared" si="0"/>
        <v>4.6513507177177268E-2</v>
      </c>
      <c r="AD10"/>
      <c r="AE10"/>
      <c r="AF10"/>
      <c r="AG10"/>
      <c r="AH10"/>
      <c r="AI10"/>
      <c r="AJ10"/>
      <c r="AK10"/>
      <c r="AL10"/>
      <c r="AM10"/>
      <c r="AN10"/>
      <c r="AO10"/>
      <c r="AP10"/>
      <c r="AQ10"/>
      <c r="AR10" s="25"/>
      <c r="AT10" s="25"/>
    </row>
    <row r="11" spans="1:50" s="19" customFormat="1" x14ac:dyDescent="0.2">
      <c r="A11" s="152" t="s">
        <v>114</v>
      </c>
      <c r="B11" s="49" t="s">
        <v>111</v>
      </c>
      <c r="C11" s="26">
        <v>-5</v>
      </c>
      <c r="D11" s="35"/>
      <c r="E11" s="31">
        <v>1</v>
      </c>
      <c r="F11" s="60">
        <v>0.16165641818149465</v>
      </c>
      <c r="G11" s="60">
        <v>0.61267782490786471</v>
      </c>
      <c r="H11" s="60">
        <v>-0.15303983747736893</v>
      </c>
      <c r="I11" s="60">
        <v>-0.5800209840392283</v>
      </c>
      <c r="J11" s="148">
        <v>502.95392714487809</v>
      </c>
      <c r="K11" s="148">
        <v>-671.89590545984606</v>
      </c>
      <c r="L11" s="148">
        <v>108.64400486759287</v>
      </c>
      <c r="M11" s="60">
        <v>0.14770296599958604</v>
      </c>
      <c r="N11" s="60">
        <v>0.55979424113843113</v>
      </c>
      <c r="O11" s="60">
        <v>-0.16654675988831152</v>
      </c>
      <c r="P11" s="60">
        <v>-0.63121221997670063</v>
      </c>
      <c r="Q11" s="59">
        <v>584.75842742758027</v>
      </c>
      <c r="R11" s="59">
        <v>-659.3613117134073</v>
      </c>
      <c r="S11" s="60">
        <v>2.1408955954682005</v>
      </c>
      <c r="T11" s="60">
        <v>0.41152770890666523</v>
      </c>
      <c r="U11" s="60">
        <v>29.178609805625573</v>
      </c>
      <c r="V11" s="154">
        <f>IF(ISERR(Q11*($V$2/30)^2),"",(Q11*($V$2/30)^2))</f>
        <v>584.75842742758027</v>
      </c>
      <c r="W11" s="155">
        <f>IF(ISERR(((V11/453.59)*$V$2/375)*746),"",(((V11/453.59)*$V$2/375)*746))</f>
        <v>76.938166513543052</v>
      </c>
      <c r="X11" s="60">
        <v>50.348694552950647</v>
      </c>
      <c r="Y11" s="60">
        <v>146.70994455295065</v>
      </c>
      <c r="Z11" s="18" t="s">
        <v>113</v>
      </c>
      <c r="AA11" s="17" t="s">
        <v>113</v>
      </c>
      <c r="AB11" s="17"/>
      <c r="AC11" s="60">
        <f t="shared" si="0"/>
        <v>4.6378731323870021E-2</v>
      </c>
      <c r="AD11"/>
      <c r="AE11"/>
      <c r="AF11"/>
      <c r="AG11"/>
      <c r="AH11"/>
      <c r="AI11"/>
      <c r="AJ11"/>
      <c r="AK11"/>
      <c r="AL11"/>
      <c r="AM11"/>
      <c r="AN11"/>
      <c r="AO11"/>
      <c r="AP11"/>
      <c r="AQ11"/>
      <c r="AR11" s="25"/>
      <c r="AT11" s="25"/>
      <c r="AU11" s="1"/>
      <c r="AV11" s="1"/>
      <c r="AW11" s="1"/>
      <c r="AX11" s="1"/>
    </row>
    <row r="12" spans="1:50" s="19" customFormat="1" ht="13.5" thickBot="1" x14ac:dyDescent="0.25">
      <c r="A12" s="153" t="s">
        <v>114</v>
      </c>
      <c r="B12" s="50" t="s">
        <v>111</v>
      </c>
      <c r="C12" s="27">
        <v>-5</v>
      </c>
      <c r="D12" s="36"/>
      <c r="E12" s="32">
        <v>2</v>
      </c>
      <c r="F12" s="60">
        <v>0.16244339415647452</v>
      </c>
      <c r="G12" s="60">
        <v>0.61566046385303841</v>
      </c>
      <c r="H12" s="60">
        <v>-0.15218546311974357</v>
      </c>
      <c r="I12" s="60">
        <v>-0.57678290522382814</v>
      </c>
      <c r="J12" s="148">
        <v>507.88056125737467</v>
      </c>
      <c r="K12" s="148">
        <v>-672.83272106585594</v>
      </c>
      <c r="L12" s="148">
        <v>110.47729540986143</v>
      </c>
      <c r="M12" s="60">
        <v>0.14856141092510997</v>
      </c>
      <c r="N12" s="60">
        <v>0.56304774740616681</v>
      </c>
      <c r="O12" s="60">
        <v>-0.16576422615868355</v>
      </c>
      <c r="P12" s="60">
        <v>-0.62824641714141072</v>
      </c>
      <c r="Q12" s="59">
        <v>588.15702474947818</v>
      </c>
      <c r="R12" s="59">
        <v>-656.26324804183844</v>
      </c>
      <c r="S12" s="60">
        <v>2.1494880647972825</v>
      </c>
      <c r="T12" s="60">
        <v>0.41317937245547764</v>
      </c>
      <c r="U12" s="60">
        <v>29.237105243673724</v>
      </c>
      <c r="V12" s="154">
        <f>IF(ISERR(Q12*($V$2/30)^2),"",(Q12*($V$2/30)^2))</f>
        <v>588.15702474947818</v>
      </c>
      <c r="W12" s="155">
        <f>IF(ISERR(((V12/453.59)*$V$2/375)*746),"",(((V12/453.59)*$V$2/375)*746))</f>
        <v>77.385328682397898</v>
      </c>
      <c r="X12" s="60">
        <v>51.693096471854339</v>
      </c>
      <c r="Y12" s="60">
        <v>148.05434647185433</v>
      </c>
      <c r="Z12" s="20" t="s">
        <v>113</v>
      </c>
      <c r="AA12" s="21" t="s">
        <v>113</v>
      </c>
      <c r="AB12" s="21"/>
      <c r="AC12" s="60">
        <f t="shared" si="0"/>
        <v>4.664828303048453E-2</v>
      </c>
      <c r="AD12"/>
      <c r="AE12"/>
      <c r="AF12"/>
      <c r="AG12"/>
      <c r="AH12"/>
      <c r="AI12"/>
      <c r="AJ12"/>
      <c r="AK12"/>
      <c r="AL12"/>
      <c r="AM12"/>
      <c r="AN12"/>
      <c r="AO12"/>
      <c r="AP12"/>
      <c r="AQ12"/>
      <c r="AR12" s="25"/>
      <c r="AT12" s="1"/>
      <c r="AU12" s="1"/>
      <c r="AV12" s="1"/>
      <c r="AW12" s="1"/>
      <c r="AX12" s="1"/>
    </row>
    <row r="13" spans="1:50" s="1" customFormat="1" x14ac:dyDescent="0.2">
      <c r="A13" s="152" t="s">
        <v>114</v>
      </c>
      <c r="B13" s="28" t="s">
        <v>111</v>
      </c>
      <c r="C13" s="144">
        <v>-0.2</v>
      </c>
      <c r="D13" s="145">
        <v>4</v>
      </c>
      <c r="E13" s="146" t="s">
        <v>112</v>
      </c>
      <c r="F13" s="7">
        <v>0.14285323392675686</v>
      </c>
      <c r="G13" s="7">
        <v>0.54141375658240842</v>
      </c>
      <c r="H13" s="7">
        <v>1.2652878859714365E-2</v>
      </c>
      <c r="I13" s="7">
        <v>4.7954410878317436E-2</v>
      </c>
      <c r="J13" s="147">
        <v>439.48220392156827</v>
      </c>
      <c r="K13" s="147">
        <v>64.421012814954707</v>
      </c>
      <c r="L13" s="147">
        <v>-17.227888441706487</v>
      </c>
      <c r="M13" s="7">
        <v>0.14289673364670824</v>
      </c>
      <c r="N13" s="7">
        <v>0.54157862052102423</v>
      </c>
      <c r="O13" s="7">
        <v>1.2151761184002755E-2</v>
      </c>
      <c r="P13" s="7">
        <v>4.6055174887370445E-2</v>
      </c>
      <c r="Q13" s="147">
        <v>565.73047593384899</v>
      </c>
      <c r="R13" s="147">
        <v>48.10901874816026</v>
      </c>
      <c r="S13" s="7">
        <v>2.1692143991311585</v>
      </c>
      <c r="T13" s="7">
        <v>0.41697121227743378</v>
      </c>
      <c r="U13" s="147">
        <v>29.370870553175784</v>
      </c>
      <c r="V13" s="147">
        <f>IF(ISERR(AVERAGE(V14:V15)),"",AVERAGE(V14:V15))</f>
        <v>565.73047593384899</v>
      </c>
      <c r="W13" s="147">
        <f>IF(ISERR(AVERAGE(W14:W15)),"",AVERAGE(W14:W15))</f>
        <v>74.434610118680098</v>
      </c>
      <c r="X13" s="7">
        <v>142.31051207509279</v>
      </c>
      <c r="Y13" s="7">
        <v>238.6717620750928</v>
      </c>
      <c r="Z13" s="7" t="s">
        <v>113</v>
      </c>
      <c r="AA13" s="7" t="s">
        <v>113</v>
      </c>
      <c r="AB13" s="12"/>
      <c r="AC13" s="7">
        <f t="shared" si="0"/>
        <v>4.4869574365066389E-2</v>
      </c>
      <c r="AD13"/>
      <c r="AE13"/>
      <c r="AF13"/>
      <c r="AG13"/>
      <c r="AH13"/>
      <c r="AI13"/>
      <c r="AJ13"/>
      <c r="AK13"/>
      <c r="AL13"/>
      <c r="AM13"/>
      <c r="AN13"/>
      <c r="AO13"/>
      <c r="AP13"/>
      <c r="AQ13"/>
      <c r="AR13" s="25"/>
    </row>
    <row r="14" spans="1:50" s="19" customFormat="1" x14ac:dyDescent="0.2">
      <c r="A14" s="152" t="s">
        <v>114</v>
      </c>
      <c r="B14" s="49" t="s">
        <v>111</v>
      </c>
      <c r="C14" s="26">
        <v>-0.20095819200000001</v>
      </c>
      <c r="D14" s="35"/>
      <c r="E14" s="31">
        <v>1</v>
      </c>
      <c r="F14" s="60">
        <v>0.14255218231477754</v>
      </c>
      <c r="G14" s="60">
        <v>0.54027277097300686</v>
      </c>
      <c r="H14" s="60">
        <v>1.3159805301836211E-2</v>
      </c>
      <c r="I14" s="60">
        <v>4.9875662093959237E-2</v>
      </c>
      <c r="J14" s="148">
        <v>440.48703034469736</v>
      </c>
      <c r="K14" s="148">
        <v>66.77872282826992</v>
      </c>
      <c r="L14" s="148">
        <v>-17.466804978901951</v>
      </c>
      <c r="M14" s="60">
        <v>0.14259746186754318</v>
      </c>
      <c r="N14" s="60">
        <v>0.54044438047798871</v>
      </c>
      <c r="O14" s="60">
        <v>1.2659740408964788E-2</v>
      </c>
      <c r="P14" s="60">
        <v>4.798041614997655E-2</v>
      </c>
      <c r="Q14" s="59">
        <v>564.5456541276402</v>
      </c>
      <c r="R14" s="59">
        <v>50.120116702384905</v>
      </c>
      <c r="S14" s="60">
        <v>2.1797151773612438</v>
      </c>
      <c r="T14" s="60">
        <v>0.41898969520388352</v>
      </c>
      <c r="U14" s="60">
        <v>29.441960530513693</v>
      </c>
      <c r="V14" s="154">
        <f>IF(ISERR(Q14*($V$2/30)^2),"",(Q14*($V$2/30)^2))</f>
        <v>564.5456541276402</v>
      </c>
      <c r="W14" s="155">
        <f>IF(ISERR(((V14/453.59)*$V$2/375)*746),"",(((V14/453.59)*$V$2/375)*746))</f>
        <v>74.278720073938075</v>
      </c>
      <c r="X14" s="60">
        <v>136.80582922190356</v>
      </c>
      <c r="Y14" s="60">
        <v>233.16707922190358</v>
      </c>
      <c r="Z14" s="18" t="s">
        <v>113</v>
      </c>
      <c r="AA14" s="17" t="s">
        <v>113</v>
      </c>
      <c r="AB14" s="17"/>
      <c r="AC14" s="60">
        <f t="shared" si="0"/>
        <v>4.477560302640856E-2</v>
      </c>
      <c r="AD14"/>
      <c r="AE14"/>
      <c r="AF14"/>
      <c r="AG14"/>
      <c r="AH14"/>
      <c r="AI14"/>
      <c r="AJ14"/>
      <c r="AK14"/>
      <c r="AL14"/>
      <c r="AM14"/>
      <c r="AN14"/>
      <c r="AO14"/>
      <c r="AP14"/>
      <c r="AQ14"/>
      <c r="AR14" s="25"/>
      <c r="AT14" s="1"/>
      <c r="AU14" s="1"/>
      <c r="AV14" s="1"/>
      <c r="AW14" s="1"/>
      <c r="AX14" s="1"/>
    </row>
    <row r="15" spans="1:50" s="19" customFormat="1" ht="13.5" thickBot="1" x14ac:dyDescent="0.25">
      <c r="A15" s="153" t="s">
        <v>114</v>
      </c>
      <c r="B15" s="50" t="s">
        <v>111</v>
      </c>
      <c r="C15" s="27">
        <v>-0.20095819200000001</v>
      </c>
      <c r="D15" s="36"/>
      <c r="E15" s="32">
        <v>2</v>
      </c>
      <c r="F15" s="60">
        <v>0.14315428553873616</v>
      </c>
      <c r="G15" s="60">
        <v>0.5425547421918101</v>
      </c>
      <c r="H15" s="60">
        <v>1.2145952417592518E-2</v>
      </c>
      <c r="I15" s="60">
        <v>4.6033159662675641E-2</v>
      </c>
      <c r="J15" s="148">
        <v>438.47737749843918</v>
      </c>
      <c r="K15" s="148">
        <v>62.063302801639487</v>
      </c>
      <c r="L15" s="148">
        <v>-16.988971904511022</v>
      </c>
      <c r="M15" s="60">
        <v>0.14319600542587332</v>
      </c>
      <c r="N15" s="60">
        <v>0.54271286056405987</v>
      </c>
      <c r="O15" s="60">
        <v>1.1643781959040721E-2</v>
      </c>
      <c r="P15" s="60">
        <v>4.4129933624764334E-2</v>
      </c>
      <c r="Q15" s="59">
        <v>566.91529774005767</v>
      </c>
      <c r="R15" s="59">
        <v>46.097920793935614</v>
      </c>
      <c r="S15" s="60">
        <v>2.1587136209010729</v>
      </c>
      <c r="T15" s="60">
        <v>0.41495272935098404</v>
      </c>
      <c r="U15" s="60">
        <v>29.299780575837872</v>
      </c>
      <c r="V15" s="154">
        <f>IF(ISERR(Q15*($V$2/30)^2),"",(Q15*($V$2/30)^2))</f>
        <v>566.91529774005767</v>
      </c>
      <c r="W15" s="155">
        <f>IF(ISERR(((V15/453.59)*$V$2/375)*746),"",(((V15/453.59)*$V$2/375)*746))</f>
        <v>74.590500163422135</v>
      </c>
      <c r="X15" s="60">
        <v>147.81519492828201</v>
      </c>
      <c r="Y15" s="60">
        <v>244.17644492828202</v>
      </c>
      <c r="Z15" s="20" t="s">
        <v>113</v>
      </c>
      <c r="AA15" s="21" t="s">
        <v>113</v>
      </c>
      <c r="AB15" s="21"/>
      <c r="AC15" s="60">
        <f t="shared" si="0"/>
        <v>4.4963545703724225E-2</v>
      </c>
      <c r="AD15"/>
      <c r="AE15"/>
      <c r="AF15"/>
      <c r="AG15"/>
      <c r="AH15"/>
      <c r="AI15"/>
      <c r="AJ15"/>
      <c r="AK15"/>
      <c r="AL15"/>
      <c r="AM15"/>
      <c r="AN15"/>
      <c r="AO15"/>
      <c r="AP15"/>
      <c r="AQ15"/>
      <c r="AR15" s="25"/>
      <c r="AT15" s="1"/>
      <c r="AU15" s="1"/>
      <c r="AV15" s="1"/>
      <c r="AW15" s="1"/>
      <c r="AX15" s="1"/>
    </row>
    <row r="16" spans="1:50" s="1" customFormat="1" x14ac:dyDescent="0.2">
      <c r="A16" s="152" t="s">
        <v>114</v>
      </c>
      <c r="B16" s="28" t="s">
        <v>111</v>
      </c>
      <c r="C16" s="144">
        <v>-0.5</v>
      </c>
      <c r="D16" s="145">
        <v>5</v>
      </c>
      <c r="E16" s="146" t="s">
        <v>112</v>
      </c>
      <c r="F16" s="7">
        <v>0.14376590228874692</v>
      </c>
      <c r="G16" s="7">
        <v>0.54487276967435083</v>
      </c>
      <c r="H16" s="7">
        <v>7.4601582501369543E-3</v>
      </c>
      <c r="I16" s="7">
        <v>2.8273999768019059E-2</v>
      </c>
      <c r="J16" s="147">
        <v>441.29616866387232</v>
      </c>
      <c r="K16" s="147">
        <v>38.145401558085894</v>
      </c>
      <c r="L16" s="147">
        <v>-10.429277741587356</v>
      </c>
      <c r="M16" s="7">
        <v>0.14382553224179007</v>
      </c>
      <c r="N16" s="7">
        <v>0.5450987671963845</v>
      </c>
      <c r="O16" s="7">
        <v>6.2052314526068863E-3</v>
      </c>
      <c r="P16" s="7">
        <v>2.35178272053801E-2</v>
      </c>
      <c r="Q16" s="147">
        <v>569.40760456956309</v>
      </c>
      <c r="R16" s="147">
        <v>24.566611519911739</v>
      </c>
      <c r="S16" s="7">
        <v>2.1614679426927395</v>
      </c>
      <c r="T16" s="7">
        <v>0.41548217120649322</v>
      </c>
      <c r="U16" s="147">
        <v>29.318332773017758</v>
      </c>
      <c r="V16" s="147">
        <f>IF(ISERR(AVERAGE(V17:V18)),"",AVERAGE(V17:V18))</f>
        <v>569.40760456956309</v>
      </c>
      <c r="W16" s="147">
        <f>IF(ISERR(AVERAGE(W17:W18)),"",AVERAGE(W17:W18))</f>
        <v>74.918419367074961</v>
      </c>
      <c r="X16" s="7">
        <v>178.07653125873139</v>
      </c>
      <c r="Y16" s="7">
        <v>274.43778125873138</v>
      </c>
      <c r="Z16" s="7" t="s">
        <v>113</v>
      </c>
      <c r="AA16" s="7" t="s">
        <v>113</v>
      </c>
      <c r="AB16" s="12"/>
      <c r="AC16" s="7">
        <f t="shared" si="0"/>
        <v>4.5161217123922077E-2</v>
      </c>
      <c r="AD16"/>
      <c r="AE16"/>
      <c r="AF16"/>
      <c r="AG16"/>
      <c r="AH16"/>
      <c r="AI16"/>
      <c r="AJ16"/>
      <c r="AK16"/>
      <c r="AL16"/>
      <c r="AM16"/>
      <c r="AN16"/>
      <c r="AO16"/>
      <c r="AP16"/>
      <c r="AQ16"/>
      <c r="AR16" s="25"/>
    </row>
    <row r="17" spans="1:50" s="19" customFormat="1" x14ac:dyDescent="0.2">
      <c r="A17" s="152" t="s">
        <v>114</v>
      </c>
      <c r="B17" s="49" t="s">
        <v>111</v>
      </c>
      <c r="C17" s="26">
        <v>-0.50002568999999997</v>
      </c>
      <c r="D17" s="35"/>
      <c r="E17" s="31">
        <v>1</v>
      </c>
      <c r="F17" s="60">
        <v>0.14435866582805229</v>
      </c>
      <c r="G17" s="60">
        <v>0.54711934348831814</v>
      </c>
      <c r="H17" s="60">
        <v>7.6507190979302241E-3</v>
      </c>
      <c r="I17" s="60">
        <v>2.8996225381155549E-2</v>
      </c>
      <c r="J17" s="148">
        <v>440.83255568161405</v>
      </c>
      <c r="K17" s="148">
        <v>37.825609904337632</v>
      </c>
      <c r="L17" s="148">
        <v>-9.5688760564459798</v>
      </c>
      <c r="M17" s="60">
        <v>0.14441993622959914</v>
      </c>
      <c r="N17" s="60">
        <v>0.54735155831018079</v>
      </c>
      <c r="O17" s="60">
        <v>6.3906120058431735E-3</v>
      </c>
      <c r="P17" s="60">
        <v>2.4220419502145627E-2</v>
      </c>
      <c r="Q17" s="59">
        <v>571.76085955544397</v>
      </c>
      <c r="R17" s="59">
        <v>25.300536123608662</v>
      </c>
      <c r="S17" s="60">
        <v>2.1484092958419776</v>
      </c>
      <c r="T17" s="60">
        <v>0.41297200908962456</v>
      </c>
      <c r="U17" s="60">
        <v>29.229767673332042</v>
      </c>
      <c r="V17" s="154">
        <f>IF(ISERR(Q17*($V$2/30)^2),"",(Q17*($V$2/30)^2))</f>
        <v>571.76085955544397</v>
      </c>
      <c r="W17" s="155">
        <f>IF(ISERR(((V17/453.59)*$V$2/375)*746),"",(((V17/453.59)*$V$2/375)*746))</f>
        <v>75.228043162920031</v>
      </c>
      <c r="X17" s="60">
        <v>156.89144623893165</v>
      </c>
      <c r="Y17" s="60">
        <v>253.25269623893166</v>
      </c>
      <c r="Z17" s="18" t="s">
        <v>113</v>
      </c>
      <c r="AA17" s="17" t="s">
        <v>113</v>
      </c>
      <c r="AB17" s="17"/>
      <c r="AC17" s="60">
        <f t="shared" si="0"/>
        <v>4.5347859976094133E-2</v>
      </c>
      <c r="AD17"/>
      <c r="AE17"/>
      <c r="AF17"/>
      <c r="AG17"/>
      <c r="AH17"/>
      <c r="AI17"/>
      <c r="AJ17"/>
      <c r="AK17"/>
      <c r="AL17"/>
      <c r="AM17"/>
      <c r="AN17"/>
      <c r="AO17"/>
      <c r="AP17"/>
      <c r="AQ17"/>
      <c r="AR17" s="1"/>
      <c r="AS17" s="1"/>
      <c r="AT17" s="1"/>
      <c r="AU17" s="1"/>
      <c r="AV17" s="1"/>
      <c r="AW17" s="1"/>
      <c r="AX17" s="1"/>
    </row>
    <row r="18" spans="1:50" s="19" customFormat="1" ht="13.5" thickBot="1" x14ac:dyDescent="0.25">
      <c r="A18" s="153" t="s">
        <v>114</v>
      </c>
      <c r="B18" s="50" t="s">
        <v>111</v>
      </c>
      <c r="C18" s="27">
        <v>-0.50002568999999997</v>
      </c>
      <c r="D18" s="36"/>
      <c r="E18" s="32">
        <v>2</v>
      </c>
      <c r="F18" s="60">
        <v>0.14317313874944157</v>
      </c>
      <c r="G18" s="60">
        <v>0.54262619586038352</v>
      </c>
      <c r="H18" s="60">
        <v>7.2695974023436853E-3</v>
      </c>
      <c r="I18" s="60">
        <v>2.7551774154882566E-2</v>
      </c>
      <c r="J18" s="148">
        <v>441.75978164613065</v>
      </c>
      <c r="K18" s="148">
        <v>38.465193211834148</v>
      </c>
      <c r="L18" s="148">
        <v>-11.28967942672873</v>
      </c>
      <c r="M18" s="60">
        <v>0.14323112825398102</v>
      </c>
      <c r="N18" s="60">
        <v>0.54284597608258811</v>
      </c>
      <c r="O18" s="60">
        <v>6.0198508993705999E-3</v>
      </c>
      <c r="P18" s="60">
        <v>2.2815234908614573E-2</v>
      </c>
      <c r="Q18" s="59">
        <v>567.05434958368232</v>
      </c>
      <c r="R18" s="59">
        <v>23.832686916214818</v>
      </c>
      <c r="S18" s="60">
        <v>2.1745265895435013</v>
      </c>
      <c r="T18" s="60">
        <v>0.41799233332336194</v>
      </c>
      <c r="U18" s="60">
        <v>29.406897872703478</v>
      </c>
      <c r="V18" s="154">
        <f>IF(ISERR(Q18*($V$2/30)^2),"",(Q18*($V$2/30)^2))</f>
        <v>567.05434958368232</v>
      </c>
      <c r="W18" s="155">
        <f>IF(ISERR(((V18/453.59)*$V$2/375)*746),"",(((V18/453.59)*$V$2/375)*746))</f>
        <v>74.608795571229891</v>
      </c>
      <c r="X18" s="60">
        <v>199.26161627853111</v>
      </c>
      <c r="Y18" s="60">
        <v>295.62286627853109</v>
      </c>
      <c r="Z18" s="20" t="s">
        <v>113</v>
      </c>
      <c r="AA18" s="21" t="s">
        <v>113</v>
      </c>
      <c r="AB18" s="21"/>
      <c r="AC18" s="60">
        <f t="shared" si="0"/>
        <v>4.4974574271750042E-2</v>
      </c>
      <c r="AD18"/>
      <c r="AE18"/>
      <c r="AF18"/>
      <c r="AG18"/>
      <c r="AH18"/>
      <c r="AI18"/>
      <c r="AJ18"/>
      <c r="AK18"/>
      <c r="AL18"/>
      <c r="AM18"/>
      <c r="AN18"/>
      <c r="AO18"/>
      <c r="AP18"/>
      <c r="AQ18"/>
      <c r="AR18" s="1"/>
      <c r="AS18" s="1"/>
      <c r="AT18" s="1"/>
      <c r="AU18" s="1"/>
      <c r="AV18" s="1"/>
      <c r="AW18" s="1"/>
      <c r="AX18" s="1"/>
    </row>
    <row r="19" spans="1:50" s="1" customFormat="1" x14ac:dyDescent="0.2">
      <c r="A19" s="152" t="s">
        <v>114</v>
      </c>
      <c r="B19" s="28" t="s">
        <v>111</v>
      </c>
      <c r="C19" s="144">
        <v>-0.7</v>
      </c>
      <c r="D19" s="145">
        <v>6</v>
      </c>
      <c r="E19" s="146" t="s">
        <v>112</v>
      </c>
      <c r="F19" s="7">
        <v>0.14349109551689512</v>
      </c>
      <c r="G19" s="7">
        <v>0.54383125200903248</v>
      </c>
      <c r="H19" s="7">
        <v>-7.8017574056483117E-4</v>
      </c>
      <c r="I19" s="7">
        <v>-2.9568660567407101E-3</v>
      </c>
      <c r="J19" s="147">
        <v>440.17671503152263</v>
      </c>
      <c r="K19" s="147">
        <v>0.94848350859945307</v>
      </c>
      <c r="L19" s="147">
        <v>-3.8292245978607449</v>
      </c>
      <c r="M19" s="7">
        <v>0.14347081179971366</v>
      </c>
      <c r="N19" s="7">
        <v>0.54375437672091476</v>
      </c>
      <c r="O19" s="7">
        <v>-2.535612027899752E-3</v>
      </c>
      <c r="P19" s="7">
        <v>-9.6099695857400601E-3</v>
      </c>
      <c r="Q19" s="147">
        <v>568.00326061153032</v>
      </c>
      <c r="R19" s="147">
        <v>-10.038528962277388</v>
      </c>
      <c r="S19" s="7">
        <v>2.1610433686100312</v>
      </c>
      <c r="T19" s="7">
        <v>0.41540055863281711</v>
      </c>
      <c r="U19" s="147">
        <v>29.315436385179495</v>
      </c>
      <c r="V19" s="147">
        <f>IF(ISERR(AVERAGE(V20:V21)),"",AVERAGE(V20:V21))</f>
        <v>568.00326061153032</v>
      </c>
      <c r="W19" s="147">
        <f>IF(ISERR(AVERAGE(W20:W21)),"",AVERAGE(W20:W21))</f>
        <v>74.73364622962616</v>
      </c>
      <c r="X19" s="7">
        <v>-235.45278371598079</v>
      </c>
      <c r="Y19" s="7">
        <v>-139.09153371598075</v>
      </c>
      <c r="Z19" s="7" t="s">
        <v>113</v>
      </c>
      <c r="AA19" s="7" t="s">
        <v>113</v>
      </c>
      <c r="AB19" s="12"/>
      <c r="AC19" s="7">
        <f t="shared" si="0"/>
        <v>4.5049834905110088E-2</v>
      </c>
      <c r="AD19"/>
      <c r="AE19"/>
      <c r="AF19"/>
      <c r="AG19"/>
      <c r="AH19"/>
      <c r="AI19"/>
      <c r="AJ19"/>
      <c r="AK19"/>
      <c r="AL19"/>
      <c r="AM19"/>
      <c r="AN19"/>
      <c r="AO19"/>
      <c r="AP19"/>
      <c r="AQ19"/>
    </row>
    <row r="20" spans="1:50" s="19" customFormat="1" x14ac:dyDescent="0.2">
      <c r="A20" s="152" t="s">
        <v>114</v>
      </c>
      <c r="B20" s="49" t="s">
        <v>111</v>
      </c>
      <c r="C20" s="26">
        <v>-0.70098388199999995</v>
      </c>
      <c r="D20" s="35"/>
      <c r="E20" s="31">
        <v>1</v>
      </c>
      <c r="F20" s="60">
        <v>0.14454739229981661</v>
      </c>
      <c r="G20" s="60">
        <v>0.54783461681630496</v>
      </c>
      <c r="H20" s="60">
        <v>-1.5219134138915102E-3</v>
      </c>
      <c r="I20" s="60">
        <v>-5.7680518386488237E-3</v>
      </c>
      <c r="J20" s="148">
        <v>441.27964504324916</v>
      </c>
      <c r="K20" s="148">
        <v>-1.5967618332630666</v>
      </c>
      <c r="L20" s="148">
        <v>-4.0210052978200199</v>
      </c>
      <c r="M20" s="60">
        <v>0.14451795498316383</v>
      </c>
      <c r="N20" s="60">
        <v>0.54772304938619087</v>
      </c>
      <c r="O20" s="60">
        <v>-3.290217105404664E-3</v>
      </c>
      <c r="P20" s="60">
        <v>-1.2469922829483676E-2</v>
      </c>
      <c r="Q20" s="59">
        <v>572.14891738356528</v>
      </c>
      <c r="R20" s="59">
        <v>-13.026022649112873</v>
      </c>
      <c r="S20" s="60">
        <v>2.14719311816624</v>
      </c>
      <c r="T20" s="60">
        <v>0.4127382327141772</v>
      </c>
      <c r="U20" s="60">
        <v>29.221493266945291</v>
      </c>
      <c r="V20" s="154">
        <f>IF(ISERR(Q20*($V$2/30)^2),"",(Q20*($V$2/30)^2))</f>
        <v>572.14891738356528</v>
      </c>
      <c r="W20" s="155">
        <f>IF(ISERR(((V20/453.59)*$V$2/375)*746),"",(((V20/453.59)*$V$2/375)*746))</f>
        <v>75.279100926941013</v>
      </c>
      <c r="X20" s="60">
        <v>-183.06333142463495</v>
      </c>
      <c r="Y20" s="60">
        <v>-86.70208142463494</v>
      </c>
      <c r="Z20" s="18" t="s">
        <v>113</v>
      </c>
      <c r="AA20" s="17" t="s">
        <v>113</v>
      </c>
      <c r="AB20" s="17"/>
      <c r="AC20" s="60">
        <f t="shared" si="0"/>
        <v>4.5378637864713446E-2</v>
      </c>
      <c r="AD20"/>
      <c r="AE20"/>
      <c r="AF20"/>
      <c r="AG20"/>
      <c r="AH20"/>
      <c r="AI20"/>
      <c r="AJ20"/>
      <c r="AK20"/>
      <c r="AL20"/>
      <c r="AM20"/>
      <c r="AN20"/>
      <c r="AO20"/>
      <c r="AP20"/>
      <c r="AQ20"/>
      <c r="AR20" s="1"/>
      <c r="AS20" s="1"/>
      <c r="AT20" s="1"/>
      <c r="AU20" s="1"/>
      <c r="AV20" s="1"/>
      <c r="AW20" s="1"/>
      <c r="AX20" s="1"/>
    </row>
    <row r="21" spans="1:50" s="19" customFormat="1" ht="13.5" thickBot="1" x14ac:dyDescent="0.25">
      <c r="A21" s="153" t="s">
        <v>114</v>
      </c>
      <c r="B21" s="50" t="s">
        <v>111</v>
      </c>
      <c r="C21" s="27">
        <v>-0.70098388199999995</v>
      </c>
      <c r="D21" s="36"/>
      <c r="E21" s="32">
        <v>2</v>
      </c>
      <c r="F21" s="60">
        <v>0.14243479873397363</v>
      </c>
      <c r="G21" s="60">
        <v>0.53982788720176011</v>
      </c>
      <c r="H21" s="60">
        <v>-3.8438067238152031E-5</v>
      </c>
      <c r="I21" s="60">
        <v>-1.4568027483259619E-4</v>
      </c>
      <c r="J21" s="148">
        <v>439.07378501979611</v>
      </c>
      <c r="K21" s="148">
        <v>3.4937288504619728</v>
      </c>
      <c r="L21" s="148">
        <v>-3.6374438979014703</v>
      </c>
      <c r="M21" s="60">
        <v>0.14242366861626349</v>
      </c>
      <c r="N21" s="60">
        <v>0.53978570405563864</v>
      </c>
      <c r="O21" s="60">
        <v>-1.7810069503948402E-3</v>
      </c>
      <c r="P21" s="60">
        <v>-6.7500163419964444E-3</v>
      </c>
      <c r="Q21" s="59">
        <v>563.85760383949548</v>
      </c>
      <c r="R21" s="59">
        <v>-7.0510352754419028</v>
      </c>
      <c r="S21" s="60">
        <v>2.1748936190538224</v>
      </c>
      <c r="T21" s="60">
        <v>0.41806288455145696</v>
      </c>
      <c r="U21" s="60">
        <v>29.409379503413703</v>
      </c>
      <c r="V21" s="154">
        <f>IF(ISERR(Q21*($V$2/30)^2),"",(Q21*($V$2/30)^2))</f>
        <v>563.85760383949548</v>
      </c>
      <c r="W21" s="155">
        <f>IF(ISERR(((V21/453.59)*$V$2/375)*746),"",(((V21/453.59)*$V$2/375)*746))</f>
        <v>74.188191532311308</v>
      </c>
      <c r="X21" s="60">
        <v>-287.84223600732662</v>
      </c>
      <c r="Y21" s="60">
        <v>-191.48098600732658</v>
      </c>
      <c r="Z21" s="20" t="s">
        <v>113</v>
      </c>
      <c r="AA21" s="21" t="s">
        <v>113</v>
      </c>
      <c r="AB21" s="21"/>
      <c r="AC21" s="60">
        <f t="shared" si="0"/>
        <v>4.4721031945506737E-2</v>
      </c>
      <c r="AD21"/>
      <c r="AE21"/>
      <c r="AF21"/>
      <c r="AG21"/>
      <c r="AH21"/>
      <c r="AI21"/>
      <c r="AJ21"/>
      <c r="AK21"/>
      <c r="AL21"/>
      <c r="AM21"/>
      <c r="AN21"/>
      <c r="AO21"/>
      <c r="AP21"/>
      <c r="AQ21"/>
      <c r="AR21" s="1"/>
      <c r="AS21" s="1"/>
      <c r="AT21" s="1"/>
      <c r="AU21" s="1"/>
      <c r="AV21" s="1"/>
      <c r="AW21" s="1"/>
      <c r="AX21" s="1"/>
    </row>
    <row r="22" spans="1:50" s="1" customFormat="1" x14ac:dyDescent="0.2">
      <c r="A22" s="152" t="s">
        <v>115</v>
      </c>
      <c r="B22" s="28" t="s">
        <v>111</v>
      </c>
      <c r="C22" s="144">
        <v>0</v>
      </c>
      <c r="D22" s="145">
        <v>7</v>
      </c>
      <c r="E22" s="146" t="s">
        <v>112</v>
      </c>
      <c r="F22" s="7">
        <v>0.14234347224557967</v>
      </c>
      <c r="G22" s="7">
        <v>0.53948175981074697</v>
      </c>
      <c r="H22" s="7">
        <v>2.0929821741383359E-2</v>
      </c>
      <c r="I22" s="7">
        <v>7.932402439984293E-2</v>
      </c>
      <c r="J22" s="147">
        <v>439.71109150938901</v>
      </c>
      <c r="K22" s="147">
        <v>88.597958314939717</v>
      </c>
      <c r="L22" s="147">
        <v>-10.173620298025975</v>
      </c>
      <c r="M22" s="7">
        <v>0.14234312595778625</v>
      </c>
      <c r="N22" s="7">
        <v>0.53948044738000989</v>
      </c>
      <c r="O22" s="7">
        <v>2.0932176705254366E-2</v>
      </c>
      <c r="P22" s="7">
        <v>7.9332949712914047E-2</v>
      </c>
      <c r="Q22" s="147">
        <v>563.53873415402063</v>
      </c>
      <c r="R22" s="147">
        <v>82.870825578648692</v>
      </c>
      <c r="S22" s="7">
        <v>2.1802305257736432</v>
      </c>
      <c r="T22" s="7">
        <v>0.41908875662093359</v>
      </c>
      <c r="U22" s="147">
        <v>29.444489784170369</v>
      </c>
      <c r="V22" s="147">
        <f>IF(ISERR(AVERAGE(V23:V24)),"",AVERAGE(V23:V24))</f>
        <v>563.53873415402063</v>
      </c>
      <c r="W22" s="147">
        <f>IF(ISERR(AVERAGE(W23:W24)),"",AVERAGE(W23:W24))</f>
        <v>74.146237029722784</v>
      </c>
      <c r="X22" s="7">
        <v>31.504634179740748</v>
      </c>
      <c r="Y22" s="7">
        <v>127.86588417974075</v>
      </c>
      <c r="Z22" s="7" t="s">
        <v>113</v>
      </c>
      <c r="AA22" s="7" t="s">
        <v>113</v>
      </c>
      <c r="AB22" s="12"/>
      <c r="AC22" s="7">
        <f t="shared" si="0"/>
        <v>4.4695741550744884E-2</v>
      </c>
      <c r="AD22"/>
      <c r="AE22"/>
      <c r="AF22"/>
      <c r="AG22"/>
      <c r="AH22"/>
      <c r="AI22"/>
      <c r="AJ22"/>
      <c r="AK22"/>
      <c r="AL22"/>
      <c r="AM22"/>
      <c r="AN22"/>
      <c r="AO22"/>
      <c r="AP22"/>
      <c r="AQ22"/>
    </row>
    <row r="23" spans="1:50" s="19" customFormat="1" x14ac:dyDescent="0.2">
      <c r="A23" s="152" t="s">
        <v>114</v>
      </c>
      <c r="B23" s="49" t="s">
        <v>111</v>
      </c>
      <c r="C23" s="26">
        <v>9.4791600000000004E-4</v>
      </c>
      <c r="D23" s="35"/>
      <c r="E23" s="31">
        <v>1</v>
      </c>
      <c r="F23" s="60">
        <v>0.1407196255375904</v>
      </c>
      <c r="G23" s="60">
        <v>0.53332738078746766</v>
      </c>
      <c r="H23" s="60">
        <v>2.0570783032269307E-2</v>
      </c>
      <c r="I23" s="60">
        <v>7.7963267692300678E-2</v>
      </c>
      <c r="J23" s="148">
        <v>440.69411713757125</v>
      </c>
      <c r="K23" s="148">
        <v>88.207388866000471</v>
      </c>
      <c r="L23" s="148">
        <v>-9.8678416619729425</v>
      </c>
      <c r="M23" s="60">
        <v>0.14071928519004726</v>
      </c>
      <c r="N23" s="60">
        <v>0.53332609087027916</v>
      </c>
      <c r="O23" s="60">
        <v>2.0573111130855058E-2</v>
      </c>
      <c r="P23" s="60">
        <v>7.7972091185940673E-2</v>
      </c>
      <c r="Q23" s="59">
        <v>557.10992233355591</v>
      </c>
      <c r="R23" s="59">
        <v>81.449279171586639</v>
      </c>
      <c r="S23" s="60">
        <v>2.2152745192174668</v>
      </c>
      <c r="T23" s="60">
        <v>0.42582499091624637</v>
      </c>
      <c r="U23" s="60">
        <v>29.68114346603322</v>
      </c>
      <c r="V23" s="154">
        <f>IF(ISERR(Q23*($V$2/30)^2),"",(Q23*($V$2/30)^2))</f>
        <v>557.10992233355591</v>
      </c>
      <c r="W23" s="155">
        <f>IF(ISERR(((V23/453.59)*$V$2/375)*746),"",(((V23/453.59)*$V$2/375)*746))</f>
        <v>73.300381765176965</v>
      </c>
      <c r="X23" s="60">
        <v>29.86024632067755</v>
      </c>
      <c r="Y23" s="60">
        <v>126.22149632067755</v>
      </c>
      <c r="Z23" s="18" t="s">
        <v>113</v>
      </c>
      <c r="AA23" s="17" t="s">
        <v>113</v>
      </c>
      <c r="AB23" s="17"/>
      <c r="AC23" s="60">
        <f t="shared" si="0"/>
        <v>4.4185855549674836E-2</v>
      </c>
      <c r="AD23"/>
      <c r="AE23"/>
      <c r="AF23"/>
      <c r="AG23"/>
      <c r="AH23"/>
      <c r="AI23"/>
      <c r="AJ23"/>
      <c r="AK23"/>
      <c r="AL23"/>
      <c r="AM23"/>
      <c r="AN23"/>
      <c r="AO23"/>
      <c r="AP23"/>
      <c r="AQ23"/>
      <c r="AR23" s="1"/>
      <c r="AS23" s="1"/>
      <c r="AT23" s="1"/>
      <c r="AU23" s="1"/>
      <c r="AV23" s="1"/>
      <c r="AW23" s="1"/>
      <c r="AX23" s="1"/>
    </row>
    <row r="24" spans="1:50" s="19" customFormat="1" ht="13.5" thickBot="1" x14ac:dyDescent="0.25">
      <c r="A24" s="153" t="s">
        <v>114</v>
      </c>
      <c r="B24" s="50" t="s">
        <v>111</v>
      </c>
      <c r="C24" s="27">
        <v>9.4791600000000004E-4</v>
      </c>
      <c r="D24" s="36"/>
      <c r="E24" s="32">
        <v>2</v>
      </c>
      <c r="F24" s="60">
        <v>0.14396731895356893</v>
      </c>
      <c r="G24" s="60">
        <v>0.54563613883402629</v>
      </c>
      <c r="H24" s="60">
        <v>2.1288860450497413E-2</v>
      </c>
      <c r="I24" s="60">
        <v>8.0684781107385195E-2</v>
      </c>
      <c r="J24" s="148">
        <v>438.72806588120676</v>
      </c>
      <c r="K24" s="148">
        <v>88.988527763878963</v>
      </c>
      <c r="L24" s="148">
        <v>-10.479398934079008</v>
      </c>
      <c r="M24" s="60">
        <v>0.14396696672552523</v>
      </c>
      <c r="N24" s="60">
        <v>0.54563480388974062</v>
      </c>
      <c r="O24" s="60">
        <v>2.1291242279653674E-2</v>
      </c>
      <c r="P24" s="60">
        <v>8.0693808239887421E-2</v>
      </c>
      <c r="Q24" s="59">
        <v>569.96754597448546</v>
      </c>
      <c r="R24" s="59">
        <v>84.29237198571073</v>
      </c>
      <c r="S24" s="60">
        <v>2.1451865323298192</v>
      </c>
      <c r="T24" s="60">
        <v>0.41235252232562075</v>
      </c>
      <c r="U24" s="60">
        <v>29.207836102307517</v>
      </c>
      <c r="V24" s="154">
        <f>IF(ISERR(Q24*($V$2/30)^2),"",(Q24*($V$2/30)^2))</f>
        <v>569.96754597448546</v>
      </c>
      <c r="W24" s="155">
        <f>IF(ISERR(((V24/453.59)*$V$2/375)*746),"",(((V24/453.59)*$V$2/375)*746))</f>
        <v>74.992092294268602</v>
      </c>
      <c r="X24" s="60">
        <v>33.149022038803949</v>
      </c>
      <c r="Y24" s="60">
        <v>129.51027203880395</v>
      </c>
      <c r="Z24" s="20" t="s">
        <v>113</v>
      </c>
      <c r="AA24" s="21" t="s">
        <v>113</v>
      </c>
      <c r="AB24" s="21"/>
      <c r="AC24" s="60">
        <f t="shared" si="0"/>
        <v>4.5205627551814918E-2</v>
      </c>
      <c r="AD24"/>
      <c r="AE24"/>
      <c r="AF24"/>
      <c r="AG24"/>
      <c r="AH24"/>
      <c r="AI24"/>
      <c r="AJ24"/>
      <c r="AK24"/>
      <c r="AL24"/>
      <c r="AM24"/>
      <c r="AN24"/>
      <c r="AO24"/>
      <c r="AP24"/>
      <c r="AQ24"/>
      <c r="AR24" s="1"/>
      <c r="AS24" s="1"/>
      <c r="AT24" s="1"/>
      <c r="AU24" s="1"/>
      <c r="AV24" s="1"/>
      <c r="AW24" s="1"/>
      <c r="AX24" s="1"/>
    </row>
    <row r="25" spans="1:50" s="1" customFormat="1" x14ac:dyDescent="0.2">
      <c r="A25" s="152" t="s">
        <v>116</v>
      </c>
      <c r="B25" s="28" t="s">
        <v>111</v>
      </c>
      <c r="C25" s="144">
        <v>0</v>
      </c>
      <c r="D25" s="145">
        <v>8</v>
      </c>
      <c r="E25" s="146" t="s">
        <v>112</v>
      </c>
      <c r="F25" s="7">
        <v>0.14738701064192583</v>
      </c>
      <c r="G25" s="7">
        <v>0.5585967703328989</v>
      </c>
      <c r="H25" s="7">
        <v>2.6500365293079119E-3</v>
      </c>
      <c r="I25" s="7">
        <v>1.0043638446076987E-2</v>
      </c>
      <c r="J25" s="147">
        <v>458.51938320320068</v>
      </c>
      <c r="K25" s="147">
        <v>17.829805263110689</v>
      </c>
      <c r="L25" s="147">
        <v>-7.9092872000905245</v>
      </c>
      <c r="M25" s="7">
        <v>0.14738696677887431</v>
      </c>
      <c r="N25" s="7">
        <v>0.55859660409193357</v>
      </c>
      <c r="O25" s="7">
        <v>2.6524749372671174E-3</v>
      </c>
      <c r="P25" s="7">
        <v>1.0052880012242376E-2</v>
      </c>
      <c r="Q25" s="147">
        <v>583.50738141018167</v>
      </c>
      <c r="R25" s="147">
        <v>10.501191107507864</v>
      </c>
      <c r="S25" s="7">
        <v>2.1793971701994304</v>
      </c>
      <c r="T25" s="7">
        <v>0.41892856716055715</v>
      </c>
      <c r="U25" s="147">
        <v>29.439645142164878</v>
      </c>
      <c r="V25" s="147">
        <f>IF(ISERR(AVERAGE(V26:V27)),"",AVERAGE(V26:V27))</f>
        <v>583.50738141018167</v>
      </c>
      <c r="W25" s="147">
        <f>IF(ISERR(AVERAGE(W26:W27)),"",AVERAGE(W26:W27))</f>
        <v>76.77356317943439</v>
      </c>
      <c r="X25" s="7">
        <v>328.63263054022491</v>
      </c>
      <c r="Y25" s="7">
        <v>424.99388054022495</v>
      </c>
      <c r="Z25" s="7" t="s">
        <v>113</v>
      </c>
      <c r="AA25" s="7" t="s">
        <v>113</v>
      </c>
      <c r="AB25" s="12"/>
      <c r="AC25" s="7">
        <f t="shared" si="0"/>
        <v>4.6279507568566532E-2</v>
      </c>
      <c r="AD25"/>
      <c r="AE25"/>
      <c r="AF25"/>
      <c r="AG25"/>
      <c r="AH25"/>
      <c r="AI25"/>
      <c r="AJ25"/>
      <c r="AK25"/>
      <c r="AL25"/>
      <c r="AM25"/>
      <c r="AN25"/>
      <c r="AO25"/>
      <c r="AP25"/>
      <c r="AQ25"/>
    </row>
    <row r="26" spans="1:50" s="19" customFormat="1" x14ac:dyDescent="0.2">
      <c r="A26" s="152" t="s">
        <v>114</v>
      </c>
      <c r="B26" s="49" t="s">
        <v>111</v>
      </c>
      <c r="C26" s="26">
        <v>9.4791600000000004E-4</v>
      </c>
      <c r="D26" s="35"/>
      <c r="E26" s="31">
        <v>1</v>
      </c>
      <c r="F26" s="60">
        <v>0.14669003597799363</v>
      </c>
      <c r="G26" s="60">
        <v>0.55595523635659583</v>
      </c>
      <c r="H26" s="60">
        <v>2.3277707190987795E-3</v>
      </c>
      <c r="I26" s="60">
        <v>8.8222510253843749E-3</v>
      </c>
      <c r="J26" s="148">
        <v>459.00263420698019</v>
      </c>
      <c r="K26" s="148">
        <v>16.83443868172337</v>
      </c>
      <c r="L26" s="148">
        <v>-8.0543205454329421</v>
      </c>
      <c r="M26" s="60">
        <v>0.14668999744668529</v>
      </c>
      <c r="N26" s="60">
        <v>0.55595509032293722</v>
      </c>
      <c r="O26" s="60">
        <v>2.3301975961753591E-3</v>
      </c>
      <c r="P26" s="60">
        <v>8.831448889504611E-3</v>
      </c>
      <c r="Q26" s="59">
        <v>580.74806856972566</v>
      </c>
      <c r="R26" s="59">
        <v>9.2252899101487884</v>
      </c>
      <c r="S26" s="60">
        <v>2.1941053535282307</v>
      </c>
      <c r="T26" s="60">
        <v>0.42175580684487096</v>
      </c>
      <c r="U26" s="60">
        <v>29.538986518362726</v>
      </c>
      <c r="V26" s="154">
        <f>IF(ISERR(Q26*($V$2/30)^2),"",(Q26*($V$2/30)^2))</f>
        <v>580.74806856972566</v>
      </c>
      <c r="W26" s="155">
        <f>IF(ISERR(((V26/453.59)*$V$2/375)*746),"",(((V26/453.59)*$V$2/375)*746))</f>
        <v>76.410513309908126</v>
      </c>
      <c r="X26" s="60">
        <v>375.6639830368772</v>
      </c>
      <c r="Y26" s="60">
        <v>472.02523303687724</v>
      </c>
      <c r="Z26" s="18" t="s">
        <v>113</v>
      </c>
      <c r="AA26" s="17" t="s">
        <v>113</v>
      </c>
      <c r="AB26" s="17"/>
      <c r="AC26" s="60">
        <f t="shared" si="0"/>
        <v>4.6060659198259184E-2</v>
      </c>
      <c r="AD26"/>
      <c r="AE26"/>
      <c r="AF26"/>
      <c r="AG26"/>
      <c r="AH26"/>
      <c r="AI26"/>
      <c r="AJ26"/>
      <c r="AK26"/>
      <c r="AL26"/>
      <c r="AM26"/>
      <c r="AN26"/>
      <c r="AO26"/>
      <c r="AP26"/>
      <c r="AQ26"/>
      <c r="AR26" s="1"/>
      <c r="AS26" s="1"/>
      <c r="AT26" s="1"/>
      <c r="AU26" s="1"/>
      <c r="AV26" s="1"/>
      <c r="AW26" s="1"/>
      <c r="AX26" s="1"/>
    </row>
    <row r="27" spans="1:50" s="19" customFormat="1" ht="13.5" thickBot="1" x14ac:dyDescent="0.25">
      <c r="A27" s="153" t="s">
        <v>114</v>
      </c>
      <c r="B27" s="50" t="s">
        <v>111</v>
      </c>
      <c r="C27" s="27">
        <v>9.4791600000000004E-4</v>
      </c>
      <c r="D27" s="36"/>
      <c r="E27" s="32">
        <v>2</v>
      </c>
      <c r="F27" s="60">
        <v>0.14808398530585803</v>
      </c>
      <c r="G27" s="60">
        <v>0.56123830430920196</v>
      </c>
      <c r="H27" s="60">
        <v>2.9723023395170443E-3</v>
      </c>
      <c r="I27" s="60">
        <v>1.1265025866769598E-2</v>
      </c>
      <c r="J27" s="148">
        <v>458.03613219942116</v>
      </c>
      <c r="K27" s="148">
        <v>18.825171844498009</v>
      </c>
      <c r="L27" s="148">
        <v>-7.7642538547481061</v>
      </c>
      <c r="M27" s="60">
        <v>0.1480839361110633</v>
      </c>
      <c r="N27" s="60">
        <v>0.56123811786092992</v>
      </c>
      <c r="O27" s="60">
        <v>2.9747522783588761E-3</v>
      </c>
      <c r="P27" s="60">
        <v>1.127431113498014E-2</v>
      </c>
      <c r="Q27" s="59">
        <v>586.26669425063767</v>
      </c>
      <c r="R27" s="59">
        <v>11.777092304866938</v>
      </c>
      <c r="S27" s="60">
        <v>2.1646889868706305</v>
      </c>
      <c r="T27" s="60">
        <v>0.4161013274762434</v>
      </c>
      <c r="U27" s="60">
        <v>29.340303765967032</v>
      </c>
      <c r="V27" s="154">
        <f>IF(ISERR(Q27*($V$2/30)^2),"",(Q27*($V$2/30)^2))</f>
        <v>586.26669425063767</v>
      </c>
      <c r="W27" s="155">
        <f>IF(ISERR(((V27/453.59)*$V$2/375)*746),"",(((V27/453.59)*$V$2/375)*746))</f>
        <v>77.136613048960655</v>
      </c>
      <c r="X27" s="60">
        <v>281.60127804357268</v>
      </c>
      <c r="Y27" s="60">
        <v>377.96252804357266</v>
      </c>
      <c r="Z27" s="20" t="s">
        <v>113</v>
      </c>
      <c r="AA27" s="21" t="s">
        <v>113</v>
      </c>
      <c r="AB27" s="21"/>
      <c r="AC27" s="60">
        <f t="shared" si="0"/>
        <v>4.6498355938873873E-2</v>
      </c>
      <c r="AD27"/>
      <c r="AE27"/>
      <c r="AF27"/>
      <c r="AG27"/>
      <c r="AH27"/>
      <c r="AI27"/>
      <c r="AJ27"/>
      <c r="AK27"/>
      <c r="AL27"/>
      <c r="AM27"/>
      <c r="AN27"/>
      <c r="AO27"/>
      <c r="AP27"/>
      <c r="AQ27"/>
      <c r="AR27" s="1"/>
      <c r="AS27" s="1"/>
      <c r="AT27" s="1"/>
      <c r="AU27" s="1"/>
      <c r="AV27" s="1"/>
      <c r="AW27" s="1"/>
      <c r="AX27" s="1"/>
    </row>
    <row r="28" spans="1:50" s="1" customFormat="1" x14ac:dyDescent="0.2">
      <c r="A28" s="152" t="s">
        <v>117</v>
      </c>
      <c r="B28" s="28" t="s">
        <v>111</v>
      </c>
      <c r="C28" s="144">
        <v>0</v>
      </c>
      <c r="D28" s="145">
        <v>9</v>
      </c>
      <c r="E28" s="146" t="s">
        <v>112</v>
      </c>
      <c r="F28" s="7">
        <v>0.10027421968684015</v>
      </c>
      <c r="G28" s="7">
        <v>0.38003929261312419</v>
      </c>
      <c r="H28" s="7">
        <v>-1.719211241606896E-2</v>
      </c>
      <c r="I28" s="7">
        <v>-6.5158106056901366E-2</v>
      </c>
      <c r="J28" s="147">
        <v>281.4802137417505</v>
      </c>
      <c r="K28" s="147">
        <v>-71.560657719263446</v>
      </c>
      <c r="L28" s="147">
        <v>7.270696905450504</v>
      </c>
      <c r="M28" s="7">
        <v>0.10027450410381278</v>
      </c>
      <c r="N28" s="7">
        <v>0.38004037055345047</v>
      </c>
      <c r="O28" s="7">
        <v>-1.7190453451432469E-2</v>
      </c>
      <c r="P28" s="7">
        <v>-6.5151818580929055E-2</v>
      </c>
      <c r="Q28" s="147">
        <v>396.98838093061954</v>
      </c>
      <c r="R28" s="147">
        <v>-68.057282797251631</v>
      </c>
      <c r="S28" s="7">
        <v>2.1752211319971444</v>
      </c>
      <c r="T28" s="7">
        <v>0.41812583981722889</v>
      </c>
      <c r="U28" s="147">
        <v>29.411522154977003</v>
      </c>
      <c r="V28" s="147">
        <f>IF(ISERR(AVERAGE(V29:V30)),"",AVERAGE(V29:V30))</f>
        <v>396.98838093061954</v>
      </c>
      <c r="W28" s="147">
        <f>IF(ISERR(AVERAGE(W29:W30)),"",AVERAGE(W29:W30))</f>
        <v>52.232779765734193</v>
      </c>
      <c r="X28" s="7">
        <v>24.292735714089424</v>
      </c>
      <c r="Y28" s="7">
        <v>120.65398571408943</v>
      </c>
      <c r="Z28" s="7" t="s">
        <v>113</v>
      </c>
      <c r="AA28" s="7" t="s">
        <v>113</v>
      </c>
      <c r="AB28" s="12"/>
      <c r="AC28" s="7">
        <f t="shared" si="0"/>
        <v>3.1486194288597211E-2</v>
      </c>
      <c r="AD28"/>
      <c r="AE28"/>
      <c r="AF28"/>
      <c r="AG28"/>
      <c r="AH28"/>
      <c r="AI28"/>
      <c r="AJ28"/>
      <c r="AK28"/>
      <c r="AL28"/>
      <c r="AM28"/>
      <c r="AN28"/>
      <c r="AO28"/>
      <c r="AP28"/>
      <c r="AQ28"/>
    </row>
    <row r="29" spans="1:50" s="19" customFormat="1" x14ac:dyDescent="0.2">
      <c r="A29" s="152" t="s">
        <v>114</v>
      </c>
      <c r="B29" s="49" t="s">
        <v>111</v>
      </c>
      <c r="C29" s="26">
        <v>9.4791600000000004E-4</v>
      </c>
      <c r="D29" s="35"/>
      <c r="E29" s="31">
        <v>1</v>
      </c>
      <c r="F29" s="60">
        <v>0.10009808416092184</v>
      </c>
      <c r="G29" s="60">
        <v>0.37937173896989373</v>
      </c>
      <c r="H29" s="60">
        <v>-1.7262286133079875E-2</v>
      </c>
      <c r="I29" s="60">
        <v>-6.5424064444372723E-2</v>
      </c>
      <c r="J29" s="148">
        <v>282.06390413196652</v>
      </c>
      <c r="K29" s="148">
        <v>-71.350218627112781</v>
      </c>
      <c r="L29" s="148">
        <v>6.5141062902644773</v>
      </c>
      <c r="M29" s="60">
        <v>0.10009836973889046</v>
      </c>
      <c r="N29" s="60">
        <v>0.37937282131039485</v>
      </c>
      <c r="O29" s="60">
        <v>-1.7260630082464874E-2</v>
      </c>
      <c r="P29" s="60">
        <v>-6.5417788012541875E-2</v>
      </c>
      <c r="Q29" s="59">
        <v>396.29106213576051</v>
      </c>
      <c r="R29" s="59">
        <v>-68.335113212686821</v>
      </c>
      <c r="S29" s="60">
        <v>2.18482156434577</v>
      </c>
      <c r="T29" s="60">
        <v>0.41997125625757575</v>
      </c>
      <c r="U29" s="60">
        <v>29.476426982270944</v>
      </c>
      <c r="V29" s="154">
        <f>IF(ISERR(Q29*($V$2/30)^2),"",(Q29*($V$2/30)^2))</f>
        <v>396.29106213576051</v>
      </c>
      <c r="W29" s="155">
        <f>IF(ISERR(((V29/453.59)*$V$2/375)*746),"",(((V29/453.59)*$V$2/375)*746))</f>
        <v>52.141031742900388</v>
      </c>
      <c r="X29" s="60">
        <v>18.722563624833693</v>
      </c>
      <c r="Y29" s="60">
        <v>115.08381362483371</v>
      </c>
      <c r="Z29" s="18" t="s">
        <v>113</v>
      </c>
      <c r="AA29" s="17" t="s">
        <v>113</v>
      </c>
      <c r="AB29" s="17"/>
      <c r="AC29" s="60">
        <f t="shared" si="0"/>
        <v>3.1430888098011603E-2</v>
      </c>
      <c r="AD29"/>
      <c r="AE29"/>
      <c r="AF29"/>
      <c r="AG29"/>
      <c r="AH29"/>
      <c r="AI29"/>
      <c r="AJ29"/>
      <c r="AK29"/>
      <c r="AL29"/>
      <c r="AM29"/>
      <c r="AN29"/>
      <c r="AO29"/>
      <c r="AP29"/>
      <c r="AQ29"/>
      <c r="AR29" s="1"/>
      <c r="AS29" s="1"/>
      <c r="AT29" s="1"/>
      <c r="AU29" s="1"/>
      <c r="AV29" s="1"/>
      <c r="AW29" s="1"/>
      <c r="AX29" s="1"/>
    </row>
    <row r="30" spans="1:50" s="19" customFormat="1" ht="13.5" thickBot="1" x14ac:dyDescent="0.25">
      <c r="A30" s="153" t="s">
        <v>114</v>
      </c>
      <c r="B30" s="50" t="s">
        <v>111</v>
      </c>
      <c r="C30" s="27">
        <v>9.4791600000000004E-4</v>
      </c>
      <c r="D30" s="36"/>
      <c r="E30" s="32">
        <v>2</v>
      </c>
      <c r="F30" s="60">
        <v>0.10045035521275847</v>
      </c>
      <c r="G30" s="60">
        <v>0.38070684625635459</v>
      </c>
      <c r="H30" s="60">
        <v>-1.7121938699058047E-2</v>
      </c>
      <c r="I30" s="60">
        <v>-6.4892147669429995E-2</v>
      </c>
      <c r="J30" s="148">
        <v>280.89652335153448</v>
      </c>
      <c r="K30" s="148">
        <v>-71.771096811414097</v>
      </c>
      <c r="L30" s="148">
        <v>8.0272875206365306</v>
      </c>
      <c r="M30" s="60">
        <v>0.10045063846873512</v>
      </c>
      <c r="N30" s="60">
        <v>0.38070791979650609</v>
      </c>
      <c r="O30" s="60">
        <v>-1.7120276820400061E-2</v>
      </c>
      <c r="P30" s="60">
        <v>-6.4885849149316235E-2</v>
      </c>
      <c r="Q30" s="59">
        <v>397.68569972547857</v>
      </c>
      <c r="R30" s="59">
        <v>-67.779452381816441</v>
      </c>
      <c r="S30" s="60">
        <v>2.1656206996485192</v>
      </c>
      <c r="T30" s="60">
        <v>0.41628042337688204</v>
      </c>
      <c r="U30" s="60">
        <v>29.346617327683063</v>
      </c>
      <c r="V30" s="154">
        <f>IF(ISERR(Q30*($V$2/30)^2),"",(Q30*($V$2/30)^2))</f>
        <v>397.68569972547857</v>
      </c>
      <c r="W30" s="155">
        <f>IF(ISERR(((V30/453.59)*$V$2/375)*746),"",(((V30/453.59)*$V$2/375)*746))</f>
        <v>52.324527788568005</v>
      </c>
      <c r="X30" s="60">
        <v>29.862907803345156</v>
      </c>
      <c r="Y30" s="60">
        <v>126.22415780334516</v>
      </c>
      <c r="Z30" s="20" t="s">
        <v>113</v>
      </c>
      <c r="AA30" s="21" t="s">
        <v>113</v>
      </c>
      <c r="AB30" s="21"/>
      <c r="AC30" s="60">
        <f t="shared" si="0"/>
        <v>3.1541500479182825E-2</v>
      </c>
      <c r="AD30"/>
      <c r="AE30"/>
      <c r="AF30"/>
      <c r="AG30"/>
      <c r="AH30"/>
      <c r="AI30"/>
      <c r="AJ30"/>
      <c r="AK30"/>
      <c r="AL30"/>
      <c r="AM30"/>
      <c r="AN30"/>
      <c r="AO30"/>
      <c r="AP30"/>
      <c r="AQ30"/>
      <c r="AR30" s="1"/>
      <c r="AS30" s="1"/>
      <c r="AT30" s="1"/>
      <c r="AU30" s="1"/>
      <c r="AV30" s="1"/>
      <c r="AW30" s="1"/>
      <c r="AX30" s="1"/>
    </row>
    <row r="31" spans="1:50" s="1" customFormat="1" x14ac:dyDescent="0.2">
      <c r="A31" s="152" t="s">
        <v>114</v>
      </c>
      <c r="B31" s="28" t="s">
        <v>111</v>
      </c>
      <c r="C31" s="144">
        <v>5</v>
      </c>
      <c r="D31" s="145">
        <v>10</v>
      </c>
      <c r="E31" s="146" t="s">
        <v>112</v>
      </c>
      <c r="F31" s="7">
        <v>0.11166874731883582</v>
      </c>
      <c r="G31" s="7">
        <v>0.42322455233838774</v>
      </c>
      <c r="H31" s="7">
        <v>0.15449600737178837</v>
      </c>
      <c r="I31" s="7">
        <v>0.58553986793907786</v>
      </c>
      <c r="J31" s="147">
        <v>321.78090766853143</v>
      </c>
      <c r="K31" s="147">
        <v>667.56238801394215</v>
      </c>
      <c r="L31" s="147">
        <v>-93.916608206629363</v>
      </c>
      <c r="M31" s="7">
        <v>9.777859974753518E-2</v>
      </c>
      <c r="N31" s="7">
        <v>0.37058089304315833</v>
      </c>
      <c r="O31" s="7">
        <v>0.16364067603439247</v>
      </c>
      <c r="P31" s="7">
        <v>0.62019816217034751</v>
      </c>
      <c r="Q31" s="147">
        <v>387.10705528147429</v>
      </c>
      <c r="R31" s="147">
        <v>647.85607880972179</v>
      </c>
      <c r="S31" s="7">
        <v>2.1599954477693348</v>
      </c>
      <c r="T31" s="7">
        <v>0.41519912496010547</v>
      </c>
      <c r="U31" s="147">
        <v>29.308054841144667</v>
      </c>
      <c r="V31" s="147">
        <f>IF(ISERR(AVERAGE(V32:V33)),"",AVERAGE(V32:V33))</f>
        <v>387.10705528147429</v>
      </c>
      <c r="W31" s="147">
        <f>IF(ISERR(AVERAGE(W32:W33)),"",AVERAGE(W32:W33))</f>
        <v>50.932668399211593</v>
      </c>
      <c r="X31" s="7">
        <v>41.035733056221758</v>
      </c>
      <c r="Y31" s="7">
        <v>137.39698305622176</v>
      </c>
      <c r="Z31" s="7" t="s">
        <v>113</v>
      </c>
      <c r="AA31" s="7" t="s">
        <v>113</v>
      </c>
      <c r="AB31" s="12"/>
      <c r="AC31" s="7">
        <f t="shared" si="0"/>
        <v>3.0702480320726047E-2</v>
      </c>
      <c r="AD31"/>
      <c r="AE31"/>
      <c r="AF31"/>
      <c r="AG31"/>
      <c r="AH31"/>
      <c r="AI31"/>
      <c r="AJ31"/>
      <c r="AK31"/>
      <c r="AL31"/>
      <c r="AM31"/>
      <c r="AN31"/>
      <c r="AO31"/>
      <c r="AP31"/>
      <c r="AQ31"/>
    </row>
    <row r="32" spans="1:50" s="19" customFormat="1" x14ac:dyDescent="0.2">
      <c r="A32" s="152" t="s">
        <v>114</v>
      </c>
      <c r="B32" s="49" t="s">
        <v>111</v>
      </c>
      <c r="C32" s="26">
        <v>5</v>
      </c>
      <c r="D32" s="35"/>
      <c r="E32" s="31">
        <v>1</v>
      </c>
      <c r="F32" s="60">
        <v>0.11274094973827997</v>
      </c>
      <c r="G32" s="60">
        <v>0.42728819950808111</v>
      </c>
      <c r="H32" s="60">
        <v>0.15545475980597229</v>
      </c>
      <c r="I32" s="60">
        <v>0.58917353966463493</v>
      </c>
      <c r="J32" s="148">
        <v>322.30248308788151</v>
      </c>
      <c r="K32" s="148">
        <v>664.11752415386559</v>
      </c>
      <c r="L32" s="148">
        <v>-93.079083804778165</v>
      </c>
      <c r="M32" s="60">
        <v>9.8763161332554167E-2</v>
      </c>
      <c r="N32" s="60">
        <v>0.37431238145038032</v>
      </c>
      <c r="O32" s="60">
        <v>0.16468922872435157</v>
      </c>
      <c r="P32" s="60">
        <v>0.62417217686529247</v>
      </c>
      <c r="Q32" s="59">
        <v>391.00495049478315</v>
      </c>
      <c r="R32" s="59">
        <v>652.00731584078562</v>
      </c>
      <c r="S32" s="60">
        <v>2.1367742382205548</v>
      </c>
      <c r="T32" s="60">
        <v>0.4107354924579511</v>
      </c>
      <c r="U32" s="60">
        <v>29.15051095628305</v>
      </c>
      <c r="V32" s="154">
        <f>IF(ISERR(Q32*($V$2/30)^2),"",(Q32*($V$2/30)^2))</f>
        <v>391.00495049478315</v>
      </c>
      <c r="W32" s="155">
        <f>IF(ISERR(((V32/453.59)*$V$2/375)*746),"",(((V32/453.59)*$V$2/375)*746))</f>
        <v>51.445524472604461</v>
      </c>
      <c r="X32" s="60">
        <v>40.721766044370426</v>
      </c>
      <c r="Y32" s="60">
        <v>137.08301604437042</v>
      </c>
      <c r="Z32" s="18" t="s">
        <v>113</v>
      </c>
      <c r="AA32" s="17" t="s">
        <v>113</v>
      </c>
      <c r="AB32" s="17"/>
      <c r="AC32" s="60">
        <f t="shared" si="0"/>
        <v>3.1011632658422009E-2</v>
      </c>
      <c r="AD32"/>
      <c r="AE32"/>
      <c r="AF32"/>
      <c r="AG32"/>
      <c r="AH32"/>
      <c r="AI32"/>
      <c r="AJ32"/>
      <c r="AK32"/>
      <c r="AL32"/>
      <c r="AM32"/>
      <c r="AN32"/>
      <c r="AO32"/>
      <c r="AP32"/>
      <c r="AQ32"/>
      <c r="AR32" s="1"/>
      <c r="AS32" s="1"/>
      <c r="AT32" s="1"/>
      <c r="AU32" s="1"/>
      <c r="AV32" s="1"/>
      <c r="AW32" s="1"/>
      <c r="AX32" s="1"/>
    </row>
    <row r="33" spans="1:50" s="19" customFormat="1" ht="13.5" thickBot="1" x14ac:dyDescent="0.25">
      <c r="A33" s="153" t="s">
        <v>114</v>
      </c>
      <c r="B33" s="50" t="s">
        <v>111</v>
      </c>
      <c r="C33" s="27">
        <v>5</v>
      </c>
      <c r="D33" s="36"/>
      <c r="E33" s="32">
        <v>2</v>
      </c>
      <c r="F33" s="60">
        <v>0.11059654489939166</v>
      </c>
      <c r="G33" s="60">
        <v>0.41916090516869442</v>
      </c>
      <c r="H33" s="60">
        <v>0.15353725493760442</v>
      </c>
      <c r="I33" s="60">
        <v>0.5819061962135208</v>
      </c>
      <c r="J33" s="148">
        <v>321.2593322491814</v>
      </c>
      <c r="K33" s="148">
        <v>671.00725187401872</v>
      </c>
      <c r="L33" s="148">
        <v>-94.75413260848056</v>
      </c>
      <c r="M33" s="60">
        <v>9.6794038162516194E-2</v>
      </c>
      <c r="N33" s="60">
        <v>0.3668494046359364</v>
      </c>
      <c r="O33" s="60">
        <v>0.1625921233444334</v>
      </c>
      <c r="P33" s="60">
        <v>0.61622414747540255</v>
      </c>
      <c r="Q33" s="59">
        <v>383.20916006816543</v>
      </c>
      <c r="R33" s="59">
        <v>643.70484177865796</v>
      </c>
      <c r="S33" s="60">
        <v>2.1832166573181153</v>
      </c>
      <c r="T33" s="60">
        <v>0.41966275746225989</v>
      </c>
      <c r="U33" s="60">
        <v>29.465598726006288</v>
      </c>
      <c r="V33" s="154">
        <f>IF(ISERR(Q33*($V$2/30)^2),"",(Q33*($V$2/30)^2))</f>
        <v>383.20916006816543</v>
      </c>
      <c r="W33" s="155">
        <f>IF(ISERR(((V33/453.59)*$V$2/375)*746),"",(((V33/453.59)*$V$2/375)*746))</f>
        <v>50.419812325818725</v>
      </c>
      <c r="X33" s="60">
        <v>41.349700068073084</v>
      </c>
      <c r="Y33" s="60">
        <v>137.71095006807309</v>
      </c>
      <c r="Z33" s="20" t="s">
        <v>113</v>
      </c>
      <c r="AA33" s="21" t="s">
        <v>113</v>
      </c>
      <c r="AB33" s="21"/>
      <c r="AC33" s="60">
        <f t="shared" si="0"/>
        <v>3.0393327983030086E-2</v>
      </c>
      <c r="AD33"/>
      <c r="AE33"/>
      <c r="AF33"/>
      <c r="AG33"/>
      <c r="AH33"/>
      <c r="AI33"/>
      <c r="AJ33"/>
      <c r="AK33"/>
      <c r="AL33"/>
      <c r="AM33"/>
      <c r="AN33"/>
      <c r="AO33"/>
      <c r="AP33"/>
      <c r="AQ33"/>
      <c r="AR33" s="1"/>
      <c r="AS33" s="1"/>
      <c r="AT33" s="1"/>
      <c r="AU33" s="1"/>
      <c r="AV33" s="1"/>
      <c r="AW33" s="1"/>
      <c r="AX33" s="1"/>
    </row>
    <row r="34" spans="1:50" s="15" customFormat="1" x14ac:dyDescent="0.2">
      <c r="A34" s="152" t="s">
        <v>114</v>
      </c>
      <c r="B34" s="28" t="s">
        <v>111</v>
      </c>
      <c r="C34" s="144">
        <v>10</v>
      </c>
      <c r="D34" s="145">
        <v>11</v>
      </c>
      <c r="E34" s="146" t="s">
        <v>112</v>
      </c>
      <c r="F34" s="7">
        <v>0.15488437735174027</v>
      </c>
      <c r="G34" s="7">
        <v>0.58701179016309568</v>
      </c>
      <c r="H34" s="7">
        <v>0.38095447913381186</v>
      </c>
      <c r="I34" s="7">
        <v>1.4438174759171472</v>
      </c>
      <c r="J34" s="147">
        <v>479.67049914976917</v>
      </c>
      <c r="K34" s="147">
        <v>1581.4659645740046</v>
      </c>
      <c r="L34" s="147">
        <v>-174.56805420352177</v>
      </c>
      <c r="M34" s="7">
        <v>8.637928456082121E-2</v>
      </c>
      <c r="N34" s="7">
        <v>0.3273774884855124</v>
      </c>
      <c r="O34" s="7">
        <v>0.40206231447191226</v>
      </c>
      <c r="P34" s="7">
        <v>1.5238161718485475</v>
      </c>
      <c r="Q34" s="147">
        <v>341.97698238671006</v>
      </c>
      <c r="R34" s="147">
        <v>1591.7711952998127</v>
      </c>
      <c r="S34" s="7">
        <v>2.1482458423989295</v>
      </c>
      <c r="T34" s="7">
        <v>0.41294058970557201</v>
      </c>
      <c r="U34" s="147">
        <v>29.228638931773609</v>
      </c>
      <c r="V34" s="147">
        <f>IF(ISERR(AVERAGE(V35:V36)),"",AVERAGE(V35:V36))</f>
        <v>341.97698238671006</v>
      </c>
      <c r="W34" s="147">
        <f>IF(ISERR(AVERAGE(W35:W36)),"",AVERAGE(W35:W36))</f>
        <v>44.994788925767452</v>
      </c>
      <c r="X34" s="7">
        <v>24.92875149216227</v>
      </c>
      <c r="Y34" s="7">
        <v>121.29000149216228</v>
      </c>
      <c r="Z34" s="7" t="s">
        <v>113</v>
      </c>
      <c r="AA34" s="7" t="s">
        <v>113</v>
      </c>
      <c r="AB34" s="12"/>
      <c r="AC34" s="7">
        <f t="shared" si="0"/>
        <v>2.7123095352097861E-2</v>
      </c>
      <c r="AD34"/>
      <c r="AE34"/>
      <c r="AF34"/>
      <c r="AG34"/>
      <c r="AH34"/>
      <c r="AI34"/>
      <c r="AJ34"/>
      <c r="AK34"/>
      <c r="AL34"/>
      <c r="AM34"/>
      <c r="AN34"/>
      <c r="AO34"/>
      <c r="AP34"/>
      <c r="AQ34"/>
    </row>
    <row r="35" spans="1:50" s="19" customFormat="1" x14ac:dyDescent="0.2">
      <c r="A35" s="152" t="s">
        <v>114</v>
      </c>
      <c r="B35" s="49" t="s">
        <v>111</v>
      </c>
      <c r="C35" s="26">
        <v>10</v>
      </c>
      <c r="D35" s="35"/>
      <c r="E35" s="31">
        <v>1</v>
      </c>
      <c r="F35" s="60">
        <v>0.15480504180172808</v>
      </c>
      <c r="G35" s="60">
        <v>0.58671110842854945</v>
      </c>
      <c r="H35" s="60">
        <v>0.38211573172938301</v>
      </c>
      <c r="I35" s="60">
        <v>1.4482186232543617</v>
      </c>
      <c r="J35" s="148">
        <v>480.40618954183896</v>
      </c>
      <c r="K35" s="148">
        <v>1589.7175190932237</v>
      </c>
      <c r="L35" s="148">
        <v>-175.51387880241492</v>
      </c>
      <c r="M35" s="60">
        <v>8.6099504899047788E-2</v>
      </c>
      <c r="N35" s="60">
        <v>0.32631712356739112</v>
      </c>
      <c r="O35" s="60">
        <v>0.40319214855755242</v>
      </c>
      <c r="P35" s="60">
        <v>1.5280982430331236</v>
      </c>
      <c r="Q35" s="59">
        <v>340.86933018800403</v>
      </c>
      <c r="R35" s="59">
        <v>1596.24422668887</v>
      </c>
      <c r="S35" s="60">
        <v>2.152852875662489</v>
      </c>
      <c r="T35" s="60">
        <v>0.41382616387734511</v>
      </c>
      <c r="U35" s="60">
        <v>29.259980192623789</v>
      </c>
      <c r="V35" s="154">
        <f>IF(ISERR(Q35*($V$2/30)^2),"",(Q35*($V$2/30)^2))</f>
        <v>340.86933018800403</v>
      </c>
      <c r="W35" s="155">
        <f>IF(ISERR(((V35/453.59)*$V$2/375)*746),"",(((V35/453.59)*$V$2/375)*746))</f>
        <v>44.849052284265703</v>
      </c>
      <c r="X35" s="60">
        <v>24.958036625553426</v>
      </c>
      <c r="Y35" s="60">
        <v>121.31928662555343</v>
      </c>
      <c r="Z35" s="18" t="s">
        <v>113</v>
      </c>
      <c r="AA35" s="17" t="s">
        <v>113</v>
      </c>
      <c r="AB35" s="17"/>
      <c r="AC35" s="60">
        <f t="shared" si="0"/>
        <v>2.7035244538301004E-2</v>
      </c>
      <c r="AD35"/>
      <c r="AE35"/>
      <c r="AF35"/>
      <c r="AG35"/>
      <c r="AH35"/>
      <c r="AI35"/>
      <c r="AJ35"/>
      <c r="AK35"/>
      <c r="AL35"/>
      <c r="AM35"/>
      <c r="AN35"/>
      <c r="AO35"/>
      <c r="AP35"/>
      <c r="AQ35"/>
      <c r="AR35" s="1"/>
      <c r="AS35" s="1"/>
      <c r="AT35" s="1"/>
      <c r="AU35" s="1"/>
      <c r="AV35" s="1"/>
      <c r="AW35" s="1"/>
      <c r="AX35" s="1"/>
    </row>
    <row r="36" spans="1:50" s="19" customFormat="1" ht="13.5" thickBot="1" x14ac:dyDescent="0.25">
      <c r="A36" s="153" t="s">
        <v>114</v>
      </c>
      <c r="B36" s="50" t="s">
        <v>111</v>
      </c>
      <c r="C36" s="27">
        <v>10</v>
      </c>
      <c r="D36" s="36"/>
      <c r="E36" s="32">
        <v>2</v>
      </c>
      <c r="F36" s="60">
        <v>0.15496371290175248</v>
      </c>
      <c r="G36" s="60">
        <v>0.58731247189764191</v>
      </c>
      <c r="H36" s="60">
        <v>0.37979322653824077</v>
      </c>
      <c r="I36" s="60">
        <v>1.4394163285799326</v>
      </c>
      <c r="J36" s="148">
        <v>478.93480875769944</v>
      </c>
      <c r="K36" s="148">
        <v>1573.2144100547855</v>
      </c>
      <c r="L36" s="148">
        <v>-173.62222960462861</v>
      </c>
      <c r="M36" s="60">
        <v>8.6659064222594631E-2</v>
      </c>
      <c r="N36" s="60">
        <v>0.32843785340363363</v>
      </c>
      <c r="O36" s="60">
        <v>0.40093248038627211</v>
      </c>
      <c r="P36" s="60">
        <v>1.5195341006639713</v>
      </c>
      <c r="Q36" s="59">
        <v>343.0846345854161</v>
      </c>
      <c r="R36" s="59">
        <v>1587.2981639107554</v>
      </c>
      <c r="S36" s="60">
        <v>2.14363880913537</v>
      </c>
      <c r="T36" s="60">
        <v>0.41205501553379892</v>
      </c>
      <c r="U36" s="60">
        <v>29.197297670923426</v>
      </c>
      <c r="V36" s="154">
        <f>IF(ISERR(Q36*($V$2/30)^2),"",(Q36*($V$2/30)^2))</f>
        <v>343.0846345854161</v>
      </c>
      <c r="W36" s="155">
        <f>IF(ISERR(((V36/453.59)*$V$2/375)*746),"",(((V36/453.59)*$V$2/375)*746))</f>
        <v>45.140525567269194</v>
      </c>
      <c r="X36" s="60">
        <v>24.899466358771114</v>
      </c>
      <c r="Y36" s="60">
        <v>121.26071635877112</v>
      </c>
      <c r="Z36" s="20" t="s">
        <v>113</v>
      </c>
      <c r="AA36" s="21" t="s">
        <v>113</v>
      </c>
      <c r="AB36" s="21"/>
      <c r="AC36" s="60">
        <f t="shared" si="0"/>
        <v>2.7210946165894714E-2</v>
      </c>
      <c r="AD36"/>
      <c r="AE36"/>
      <c r="AF36"/>
      <c r="AG36"/>
      <c r="AH36"/>
      <c r="AI36"/>
      <c r="AJ36"/>
      <c r="AK36"/>
      <c r="AL36"/>
      <c r="AM36"/>
      <c r="AN36"/>
      <c r="AO36"/>
      <c r="AP36"/>
      <c r="AQ36"/>
      <c r="AR36" s="1"/>
      <c r="AS36" s="1"/>
      <c r="AT36" s="1"/>
      <c r="AU36" s="1"/>
      <c r="AV36" s="1"/>
      <c r="AW36" s="1"/>
      <c r="AX36" s="1"/>
    </row>
    <row r="37" spans="1:50" s="1" customFormat="1" x14ac:dyDescent="0.2">
      <c r="A37" s="152" t="s">
        <v>114</v>
      </c>
      <c r="B37" s="28" t="s">
        <v>111</v>
      </c>
      <c r="C37" s="144">
        <v>15</v>
      </c>
      <c r="D37" s="145">
        <v>12</v>
      </c>
      <c r="E37" s="146" t="s">
        <v>112</v>
      </c>
      <c r="F37" s="7">
        <v>0.26134765578991848</v>
      </c>
      <c r="G37" s="7">
        <v>0.99050761544379085</v>
      </c>
      <c r="H37" s="7">
        <v>0.64478933969792296</v>
      </c>
      <c r="I37" s="7">
        <v>2.4437515974551283</v>
      </c>
      <c r="J37" s="147">
        <v>868.67968436377805</v>
      </c>
      <c r="K37" s="147">
        <v>2595.7947964794084</v>
      </c>
      <c r="L37" s="147">
        <v>-225.92945505884927</v>
      </c>
      <c r="M37" s="7">
        <v>8.5558689174686675E-2</v>
      </c>
      <c r="N37" s="7">
        <v>0.32426743197206254</v>
      </c>
      <c r="O37" s="7">
        <v>0.69046042644142802</v>
      </c>
      <c r="P37" s="7">
        <v>2.6168450162130119</v>
      </c>
      <c r="Q37" s="147">
        <v>338.72823200243073</v>
      </c>
      <c r="R37" s="147">
        <v>2733.5439774987149</v>
      </c>
      <c r="S37" s="7">
        <v>2.1379922886636731</v>
      </c>
      <c r="T37" s="7">
        <v>0.41096962882090604</v>
      </c>
      <c r="U37" s="147">
        <v>29.158753648248204</v>
      </c>
      <c r="V37" s="147">
        <f>IF(ISERR(AVERAGE(V38:V39)),"",AVERAGE(V38:V39))</f>
        <v>338.72823200243073</v>
      </c>
      <c r="W37" s="147">
        <f>IF(ISERR(AVERAGE(W38:W39)),"",AVERAGE(W38:W39))</f>
        <v>44.567342502932306</v>
      </c>
      <c r="X37" s="7">
        <v>12.114144442110341</v>
      </c>
      <c r="Y37" s="7">
        <v>108.47539444211034</v>
      </c>
      <c r="Z37" s="7" t="s">
        <v>113</v>
      </c>
      <c r="AA37" s="7" t="s">
        <v>113</v>
      </c>
      <c r="AB37" s="12"/>
      <c r="AC37" s="7">
        <f t="shared" si="0"/>
        <v>2.6865428400851616E-2</v>
      </c>
      <c r="AD37"/>
      <c r="AE37"/>
      <c r="AF37"/>
      <c r="AG37"/>
      <c r="AH37"/>
      <c r="AI37"/>
      <c r="AJ37"/>
      <c r="AK37"/>
      <c r="AL37"/>
      <c r="AM37"/>
      <c r="AN37"/>
      <c r="AO37"/>
      <c r="AP37"/>
      <c r="AQ37"/>
    </row>
    <row r="38" spans="1:50" s="19" customFormat="1" x14ac:dyDescent="0.2">
      <c r="A38" s="152" t="s">
        <v>114</v>
      </c>
      <c r="B38" s="49" t="s">
        <v>111</v>
      </c>
      <c r="C38" s="26">
        <v>15</v>
      </c>
      <c r="D38" s="35"/>
      <c r="E38" s="31">
        <v>1</v>
      </c>
      <c r="F38" s="60">
        <v>0.26128949059360418</v>
      </c>
      <c r="G38" s="60">
        <v>0.9902871693497598</v>
      </c>
      <c r="H38" s="60">
        <v>0.64373338552761017</v>
      </c>
      <c r="I38" s="60">
        <v>2.4397495311496424</v>
      </c>
      <c r="J38" s="148">
        <v>872.1237777557742</v>
      </c>
      <c r="K38" s="148">
        <v>2601.8854755880639</v>
      </c>
      <c r="L38" s="148">
        <v>-225.9220307328917</v>
      </c>
      <c r="M38" s="60">
        <v>8.5775806959407952E-2</v>
      </c>
      <c r="N38" s="60">
        <v>0.32509030837615616</v>
      </c>
      <c r="O38" s="60">
        <v>0.68942539877637687</v>
      </c>
      <c r="P38" s="60">
        <v>2.6129222613624683</v>
      </c>
      <c r="Q38" s="59">
        <v>339.587804818054</v>
      </c>
      <c r="R38" s="59">
        <v>2729.4462862596574</v>
      </c>
      <c r="S38" s="60">
        <v>2.146995034257718</v>
      </c>
      <c r="T38" s="60">
        <v>0.41270015658509468</v>
      </c>
      <c r="U38" s="60">
        <v>29.220145358121258</v>
      </c>
      <c r="V38" s="154">
        <f>IF(ISERR(Q38*($V$2/30)^2),"",(Q38*($V$2/30)^2))</f>
        <v>339.587804818054</v>
      </c>
      <c r="W38" s="155">
        <f>IF(ISERR(((V38/453.59)*$V$2/375)*746),"",(((V38/453.59)*$V$2/375)*746))</f>
        <v>44.680438703546073</v>
      </c>
      <c r="X38" s="60">
        <v>12.004111113649335</v>
      </c>
      <c r="Y38" s="60">
        <v>108.36536111364934</v>
      </c>
      <c r="Z38" s="18" t="s">
        <v>113</v>
      </c>
      <c r="AA38" s="17" t="s">
        <v>113</v>
      </c>
      <c r="AB38" s="17"/>
      <c r="AC38" s="60">
        <f t="shared" si="0"/>
        <v>2.6933603385254096E-2</v>
      </c>
      <c r="AD38"/>
      <c r="AE38"/>
      <c r="AF38"/>
      <c r="AG38"/>
      <c r="AH38"/>
      <c r="AI38"/>
      <c r="AJ38"/>
      <c r="AK38"/>
      <c r="AL38"/>
      <c r="AM38"/>
      <c r="AN38"/>
      <c r="AO38"/>
      <c r="AP38"/>
      <c r="AQ38"/>
      <c r="AR38" s="1"/>
      <c r="AS38" s="1"/>
      <c r="AT38" s="1"/>
      <c r="AU38" s="1"/>
      <c r="AV38" s="1"/>
      <c r="AW38" s="1"/>
      <c r="AX38" s="1"/>
    </row>
    <row r="39" spans="1:50" s="19" customFormat="1" ht="13.5" thickBot="1" x14ac:dyDescent="0.25">
      <c r="A39" s="153" t="s">
        <v>114</v>
      </c>
      <c r="B39" s="50" t="s">
        <v>111</v>
      </c>
      <c r="C39" s="27">
        <v>15</v>
      </c>
      <c r="D39" s="36"/>
      <c r="E39" s="32">
        <v>2</v>
      </c>
      <c r="F39" s="60">
        <v>0.26140582098623272</v>
      </c>
      <c r="G39" s="60">
        <v>0.990728061537822</v>
      </c>
      <c r="H39" s="60">
        <v>0.64584529386823586</v>
      </c>
      <c r="I39" s="60">
        <v>2.4477536637606141</v>
      </c>
      <c r="J39" s="148">
        <v>865.2355909717819</v>
      </c>
      <c r="K39" s="148">
        <v>2589.7041173707526</v>
      </c>
      <c r="L39" s="148">
        <v>-225.93687938480687</v>
      </c>
      <c r="M39" s="60">
        <v>8.5341571389965398E-2</v>
      </c>
      <c r="N39" s="60">
        <v>0.32344455556796886</v>
      </c>
      <c r="O39" s="60">
        <v>0.69149545410647906</v>
      </c>
      <c r="P39" s="60">
        <v>2.6207677710635555</v>
      </c>
      <c r="Q39" s="59">
        <v>337.86865918680746</v>
      </c>
      <c r="R39" s="59">
        <v>2737.6416687377723</v>
      </c>
      <c r="S39" s="60">
        <v>2.1289895430696282</v>
      </c>
      <c r="T39" s="60">
        <v>0.40923910105671746</v>
      </c>
      <c r="U39" s="60">
        <v>29.097361938375151</v>
      </c>
      <c r="V39" s="154">
        <f>IF(ISERR(Q39*($V$2/30)^2),"",(Q39*($V$2/30)^2))</f>
        <v>337.86865918680746</v>
      </c>
      <c r="W39" s="155">
        <f>IF(ISERR(((V39/453.59)*$V$2/375)*746),"",(((V39/453.59)*$V$2/375)*746))</f>
        <v>44.454246302318545</v>
      </c>
      <c r="X39" s="60">
        <v>12.224177770571345</v>
      </c>
      <c r="Y39" s="60">
        <v>108.58542777057134</v>
      </c>
      <c r="Z39" s="20" t="s">
        <v>113</v>
      </c>
      <c r="AA39" s="21" t="s">
        <v>113</v>
      </c>
      <c r="AB39" s="21"/>
      <c r="AC39" s="60">
        <f t="shared" si="0"/>
        <v>2.6797253416449136E-2</v>
      </c>
      <c r="AD39"/>
      <c r="AE39"/>
      <c r="AF39"/>
      <c r="AG39"/>
      <c r="AH39"/>
      <c r="AI39"/>
      <c r="AJ39"/>
      <c r="AK39"/>
      <c r="AL39"/>
      <c r="AM39"/>
      <c r="AN39"/>
      <c r="AO39"/>
      <c r="AP39"/>
      <c r="AQ39"/>
      <c r="AR39" s="1"/>
      <c r="AS39" s="1"/>
      <c r="AT39" s="1"/>
      <c r="AU39" s="1"/>
      <c r="AV39" s="1"/>
      <c r="AW39" s="1"/>
      <c r="AX39" s="1"/>
    </row>
    <row r="40" spans="1:50" s="1" customFormat="1" x14ac:dyDescent="0.2">
      <c r="A40" s="152" t="s">
        <v>114</v>
      </c>
      <c r="B40" s="28" t="s">
        <v>111</v>
      </c>
      <c r="C40" s="144">
        <v>-5</v>
      </c>
      <c r="D40" s="145">
        <v>13</v>
      </c>
      <c r="E40" s="146" t="s">
        <v>112</v>
      </c>
      <c r="F40" s="7">
        <v>0.12068584893398543</v>
      </c>
      <c r="G40" s="7">
        <v>0.45739936745980481</v>
      </c>
      <c r="H40" s="7">
        <v>-0.18923370868139833</v>
      </c>
      <c r="I40" s="7">
        <v>-0.71719575590249962</v>
      </c>
      <c r="J40" s="147">
        <v>354.82442780696988</v>
      </c>
      <c r="K40" s="147">
        <v>-805.12276675023077</v>
      </c>
      <c r="L40" s="147">
        <v>103.41498387760532</v>
      </c>
      <c r="M40" s="7">
        <v>0.10373379840971639</v>
      </c>
      <c r="N40" s="7">
        <v>0.3931510959728251</v>
      </c>
      <c r="O40" s="7">
        <v>-0.1990320820916201</v>
      </c>
      <c r="P40" s="7">
        <v>-0.75433159112724013</v>
      </c>
      <c r="Q40" s="147">
        <v>410.68378294668355</v>
      </c>
      <c r="R40" s="147">
        <v>-787.97122687339277</v>
      </c>
      <c r="S40" s="7">
        <v>2.1570599375702981</v>
      </c>
      <c r="T40" s="7">
        <v>0.41463485466629063</v>
      </c>
      <c r="U40" s="147">
        <v>29.288540645211654</v>
      </c>
      <c r="V40" s="147">
        <f>IF(ISERR(AVERAGE(V41:V42)),"",AVERAGE(V41:V42))</f>
        <v>410.68378294668355</v>
      </c>
      <c r="W40" s="147">
        <f>IF(ISERR(AVERAGE(W41:W42)),"",AVERAGE(W41:W42))</f>
        <v>54.034718944990139</v>
      </c>
      <c r="X40" s="7">
        <v>34.877935888951235</v>
      </c>
      <c r="Y40" s="7">
        <v>131.23918588895123</v>
      </c>
      <c r="Z40" s="7" t="s">
        <v>113</v>
      </c>
      <c r="AA40" s="7" t="s">
        <v>113</v>
      </c>
      <c r="AB40" s="12"/>
      <c r="AC40" s="7">
        <f t="shared" si="0"/>
        <v>3.2572412700650949E-2</v>
      </c>
      <c r="AD40"/>
      <c r="AE40"/>
      <c r="AF40"/>
      <c r="AG40"/>
      <c r="AH40"/>
      <c r="AI40"/>
      <c r="AJ40"/>
      <c r="AK40"/>
      <c r="AL40"/>
      <c r="AM40"/>
      <c r="AN40"/>
      <c r="AO40"/>
      <c r="AP40"/>
      <c r="AQ40"/>
    </row>
    <row r="41" spans="1:50" s="19" customFormat="1" x14ac:dyDescent="0.2">
      <c r="A41" s="152" t="s">
        <v>114</v>
      </c>
      <c r="B41" s="49" t="s">
        <v>111</v>
      </c>
      <c r="C41" s="26">
        <v>-5</v>
      </c>
      <c r="D41" s="35"/>
      <c r="E41" s="31">
        <v>1</v>
      </c>
      <c r="F41" s="60">
        <v>0.12078335377290414</v>
      </c>
      <c r="G41" s="60">
        <v>0.45776891079930671</v>
      </c>
      <c r="H41" s="60">
        <v>-0.18771640723459793</v>
      </c>
      <c r="I41" s="60">
        <v>-0.7114451834191261</v>
      </c>
      <c r="J41" s="148">
        <v>355.90962304305003</v>
      </c>
      <c r="K41" s="148">
        <v>-801.06070672693693</v>
      </c>
      <c r="L41" s="148">
        <v>103.54831959270086</v>
      </c>
      <c r="M41" s="60">
        <v>0.10396317374785348</v>
      </c>
      <c r="N41" s="60">
        <v>0.39402042850436469</v>
      </c>
      <c r="O41" s="60">
        <v>-0.19752905254156805</v>
      </c>
      <c r="P41" s="60">
        <v>-0.74863510913254294</v>
      </c>
      <c r="Q41" s="59">
        <v>411.59188361420905</v>
      </c>
      <c r="R41" s="59">
        <v>-782.02070861455104</v>
      </c>
      <c r="S41" s="60">
        <v>2.1614590389541313</v>
      </c>
      <c r="T41" s="60">
        <v>0.41548045971007186</v>
      </c>
      <c r="U41" s="60">
        <v>29.318406155995167</v>
      </c>
      <c r="V41" s="154">
        <f>IF(ISERR(Q41*($V$2/30)^2),"",(Q41*($V$2/30)^2))</f>
        <v>411.59188361420905</v>
      </c>
      <c r="W41" s="155">
        <f>IF(ISERR(((V41/453.59)*$V$2/375)*746),"",(((V41/453.59)*$V$2/375)*746))</f>
        <v>54.154200079578466</v>
      </c>
      <c r="X41" s="60">
        <v>35.284224910653933</v>
      </c>
      <c r="Y41" s="60">
        <v>131.64547491065395</v>
      </c>
      <c r="Z41" s="18" t="s">
        <v>113</v>
      </c>
      <c r="AA41" s="17" t="s">
        <v>113</v>
      </c>
      <c r="AB41" s="17"/>
      <c r="AC41" s="60">
        <f t="shared" si="0"/>
        <v>3.2644436556825994E-2</v>
      </c>
      <c r="AD41"/>
      <c r="AE41"/>
      <c r="AF41"/>
      <c r="AG41"/>
      <c r="AH41"/>
      <c r="AI41"/>
      <c r="AJ41"/>
      <c r="AK41"/>
      <c r="AL41"/>
      <c r="AM41"/>
      <c r="AN41"/>
      <c r="AO41"/>
      <c r="AP41"/>
      <c r="AQ41"/>
      <c r="AR41" s="1"/>
      <c r="AS41" s="1"/>
      <c r="AT41" s="1"/>
      <c r="AU41" s="1"/>
      <c r="AV41" s="1"/>
      <c r="AW41" s="1"/>
      <c r="AX41" s="1"/>
    </row>
    <row r="42" spans="1:50" s="19" customFormat="1" ht="13.5" thickBot="1" x14ac:dyDescent="0.25">
      <c r="A42" s="153" t="s">
        <v>114</v>
      </c>
      <c r="B42" s="50" t="s">
        <v>111</v>
      </c>
      <c r="C42" s="27">
        <v>-5</v>
      </c>
      <c r="D42" s="36"/>
      <c r="E42" s="32">
        <v>2</v>
      </c>
      <c r="F42" s="60">
        <v>0.12058834409506672</v>
      </c>
      <c r="G42" s="60">
        <v>0.45702982412030285</v>
      </c>
      <c r="H42" s="60">
        <v>-0.19075101012819873</v>
      </c>
      <c r="I42" s="60">
        <v>-0.72294632838587314</v>
      </c>
      <c r="J42" s="148">
        <v>353.73923257088967</v>
      </c>
      <c r="K42" s="148">
        <v>-809.18482677352461</v>
      </c>
      <c r="L42" s="148">
        <v>103.28164816250977</v>
      </c>
      <c r="M42" s="60">
        <v>0.1035044230715793</v>
      </c>
      <c r="N42" s="60">
        <v>0.39228176344128551</v>
      </c>
      <c r="O42" s="60">
        <v>-0.20053511164167215</v>
      </c>
      <c r="P42" s="60">
        <v>-0.76002807312193743</v>
      </c>
      <c r="Q42" s="59">
        <v>409.7756822791581</v>
      </c>
      <c r="R42" s="59">
        <v>-793.92174513223449</v>
      </c>
      <c r="S42" s="60">
        <v>2.152660836186465</v>
      </c>
      <c r="T42" s="60">
        <v>0.4137892496225094</v>
      </c>
      <c r="U42" s="60">
        <v>29.258675134428142</v>
      </c>
      <c r="V42" s="154">
        <f>IF(ISERR(Q42*($V$2/30)^2),"",(Q42*($V$2/30)^2))</f>
        <v>409.7756822791581</v>
      </c>
      <c r="W42" s="155">
        <f>IF(ISERR(((V42/453.59)*$V$2/375)*746),"",(((V42/453.59)*$V$2/375)*746))</f>
        <v>53.915237810401813</v>
      </c>
      <c r="X42" s="60">
        <v>34.471646867248538</v>
      </c>
      <c r="Y42" s="60">
        <v>130.83289686724854</v>
      </c>
      <c r="Z42" s="20" t="s">
        <v>113</v>
      </c>
      <c r="AA42" s="21" t="s">
        <v>113</v>
      </c>
      <c r="AB42" s="21"/>
      <c r="AC42" s="60">
        <f t="shared" si="0"/>
        <v>3.2500388844475897E-2</v>
      </c>
      <c r="AD42"/>
      <c r="AE42"/>
      <c r="AF42"/>
      <c r="AG42"/>
      <c r="AH42"/>
      <c r="AI42"/>
      <c r="AJ42"/>
      <c r="AK42"/>
      <c r="AL42"/>
      <c r="AM42"/>
      <c r="AN42"/>
      <c r="AO42"/>
      <c r="AP42"/>
      <c r="AQ42"/>
      <c r="AR42" s="1"/>
      <c r="AS42" s="1"/>
      <c r="AT42" s="1"/>
      <c r="AU42" s="1"/>
      <c r="AV42" s="1"/>
      <c r="AW42" s="1"/>
      <c r="AX42" s="1"/>
    </row>
    <row r="43" spans="1:50" s="1" customFormat="1" x14ac:dyDescent="0.2">
      <c r="A43" s="152" t="s">
        <v>114</v>
      </c>
      <c r="B43" s="28" t="s">
        <v>111</v>
      </c>
      <c r="C43" s="144">
        <v>-10</v>
      </c>
      <c r="D43" s="145">
        <v>14</v>
      </c>
      <c r="E43" s="146" t="s">
        <v>112</v>
      </c>
      <c r="F43" s="7">
        <v>0.18599682520023103</v>
      </c>
      <c r="G43" s="7">
        <v>0.70492796750887565</v>
      </c>
      <c r="H43" s="7">
        <v>-0.41089234041356509</v>
      </c>
      <c r="I43" s="7">
        <v>-1.5572819701674119</v>
      </c>
      <c r="J43" s="147">
        <v>595.99782249331497</v>
      </c>
      <c r="K43" s="147">
        <v>-1692.7064744022384</v>
      </c>
      <c r="L43" s="147">
        <v>171.61488556972466</v>
      </c>
      <c r="M43" s="7">
        <v>0.11182040936272838</v>
      </c>
      <c r="N43" s="7">
        <v>0.42379935148474057</v>
      </c>
      <c r="O43" s="7">
        <v>-0.436947972240465</v>
      </c>
      <c r="P43" s="7">
        <v>-1.6560328147913626</v>
      </c>
      <c r="Q43" s="147">
        <v>442.69880628829469</v>
      </c>
      <c r="R43" s="147">
        <v>-1729.8840777220439</v>
      </c>
      <c r="S43" s="7">
        <v>2.153400103613798</v>
      </c>
      <c r="T43" s="7">
        <v>0.4139313532502078</v>
      </c>
      <c r="U43" s="147">
        <v>29.263698326315314</v>
      </c>
      <c r="V43" s="147">
        <f>IF(ISERR(AVERAGE(V44:V45)),"",AVERAGE(V44:V45))</f>
        <v>442.69880628829469</v>
      </c>
      <c r="W43" s="147">
        <f>IF(ISERR(AVERAGE(W44:W45)),"",AVERAGE(W44:W45))</f>
        <v>58.247017701636786</v>
      </c>
      <c r="X43" s="7">
        <v>19.738353706154868</v>
      </c>
      <c r="Y43" s="7">
        <v>116.09960370615487</v>
      </c>
      <c r="Z43" s="7" t="s">
        <v>113</v>
      </c>
      <c r="AA43" s="7" t="s">
        <v>113</v>
      </c>
      <c r="AB43" s="12"/>
      <c r="AC43" s="7">
        <f t="shared" si="0"/>
        <v>3.5111608539896713E-2</v>
      </c>
      <c r="AD43"/>
      <c r="AE43"/>
      <c r="AF43"/>
      <c r="AG43"/>
      <c r="AH43"/>
      <c r="AI43"/>
      <c r="AJ43"/>
      <c r="AK43"/>
      <c r="AL43"/>
      <c r="AM43"/>
      <c r="AN43"/>
      <c r="AO43"/>
      <c r="AP43"/>
      <c r="AQ43"/>
    </row>
    <row r="44" spans="1:50" s="19" customFormat="1" x14ac:dyDescent="0.2">
      <c r="A44" s="152" t="s">
        <v>114</v>
      </c>
      <c r="B44" s="49" t="s">
        <v>111</v>
      </c>
      <c r="C44" s="26">
        <v>-10</v>
      </c>
      <c r="D44" s="35"/>
      <c r="E44" s="31">
        <v>1</v>
      </c>
      <c r="F44" s="60">
        <v>0.18605362802966408</v>
      </c>
      <c r="G44" s="60">
        <v>0.70514325023242685</v>
      </c>
      <c r="H44" s="60">
        <v>-0.41115845561371162</v>
      </c>
      <c r="I44" s="60">
        <v>-1.5582905467759671</v>
      </c>
      <c r="J44" s="148">
        <v>596.01391355743954</v>
      </c>
      <c r="K44" s="148">
        <v>-1692.9198410445129</v>
      </c>
      <c r="L44" s="148">
        <v>171.33871790815729</v>
      </c>
      <c r="M44" s="60">
        <v>0.11183013880999215</v>
      </c>
      <c r="N44" s="60">
        <v>0.42383622608987026</v>
      </c>
      <c r="O44" s="60">
        <v>-0.4372199082605811</v>
      </c>
      <c r="P44" s="60">
        <v>-1.6570634523076024</v>
      </c>
      <c r="Q44" s="59">
        <v>442.7373253271183</v>
      </c>
      <c r="R44" s="59">
        <v>-1730.9606768167735</v>
      </c>
      <c r="S44" s="60">
        <v>2.1526984805584526</v>
      </c>
      <c r="T44" s="60">
        <v>0.41379648570734701</v>
      </c>
      <c r="U44" s="60">
        <v>29.258930961917756</v>
      </c>
      <c r="V44" s="154">
        <f>IF(ISERR(Q44*($V$2/30)^2),"",(Q44*($V$2/30)^2))</f>
        <v>442.7373253271183</v>
      </c>
      <c r="W44" s="155">
        <f>IF(ISERR(((V44/453.59)*$V$2/375)*746),"",(((V44/453.59)*$V$2/375)*746))</f>
        <v>58.25208575039666</v>
      </c>
      <c r="X44" s="60">
        <v>19.650465216543424</v>
      </c>
      <c r="Y44" s="60">
        <v>116.01171521654342</v>
      </c>
      <c r="Z44" s="18" t="s">
        <v>113</v>
      </c>
      <c r="AA44" s="17" t="s">
        <v>113</v>
      </c>
      <c r="AB44" s="17"/>
      <c r="AC44" s="60">
        <f t="shared" si="0"/>
        <v>3.5114663586337538E-2</v>
      </c>
      <c r="AD44"/>
      <c r="AE44"/>
      <c r="AF44"/>
      <c r="AG44"/>
      <c r="AH44"/>
      <c r="AI44"/>
      <c r="AJ44"/>
      <c r="AK44"/>
      <c r="AL44"/>
      <c r="AM44"/>
      <c r="AN44"/>
      <c r="AO44"/>
      <c r="AP44"/>
      <c r="AQ44"/>
      <c r="AR44" s="1"/>
      <c r="AS44" s="1"/>
      <c r="AT44" s="1"/>
      <c r="AU44" s="1"/>
      <c r="AV44" s="1"/>
      <c r="AW44" s="1"/>
      <c r="AX44" s="1"/>
    </row>
    <row r="45" spans="1:50" s="19" customFormat="1" ht="13.5" thickBot="1" x14ac:dyDescent="0.25">
      <c r="A45" s="153" t="s">
        <v>114</v>
      </c>
      <c r="B45" s="50" t="s">
        <v>111</v>
      </c>
      <c r="C45" s="27">
        <v>-10</v>
      </c>
      <c r="D45" s="36"/>
      <c r="E45" s="32">
        <v>2</v>
      </c>
      <c r="F45" s="60">
        <v>0.18594002237079801</v>
      </c>
      <c r="G45" s="60">
        <v>0.70471268478532445</v>
      </c>
      <c r="H45" s="60">
        <v>-0.41062622521341857</v>
      </c>
      <c r="I45" s="60">
        <v>-1.5562733935588564</v>
      </c>
      <c r="J45" s="148">
        <v>595.9817314291904</v>
      </c>
      <c r="K45" s="148">
        <v>-1692.493107759964</v>
      </c>
      <c r="L45" s="148">
        <v>171.89105323129206</v>
      </c>
      <c r="M45" s="60">
        <v>0.11181067991546462</v>
      </c>
      <c r="N45" s="60">
        <v>0.42376247687961088</v>
      </c>
      <c r="O45" s="60">
        <v>-0.43667603622034895</v>
      </c>
      <c r="P45" s="60">
        <v>-1.6550021772751224</v>
      </c>
      <c r="Q45" s="59">
        <v>442.66028724947108</v>
      </c>
      <c r="R45" s="59">
        <v>-1728.8074786273146</v>
      </c>
      <c r="S45" s="60">
        <v>2.1541017266691429</v>
      </c>
      <c r="T45" s="60">
        <v>0.4140662207930686</v>
      </c>
      <c r="U45" s="60">
        <v>29.268465690712869</v>
      </c>
      <c r="V45" s="154">
        <f>IF(ISERR(Q45*($V$2/30)^2),"",(Q45*($V$2/30)^2))</f>
        <v>442.66028724947108</v>
      </c>
      <c r="W45" s="155">
        <f>IF(ISERR(((V45/453.59)*$V$2/375)*746),"",(((V45/453.59)*$V$2/375)*746))</f>
        <v>58.241949652876912</v>
      </c>
      <c r="X45" s="60">
        <v>19.826242195766309</v>
      </c>
      <c r="Y45" s="60">
        <v>116.18749219576631</v>
      </c>
      <c r="Z45" s="20" t="s">
        <v>113</v>
      </c>
      <c r="AA45" s="21" t="s">
        <v>113</v>
      </c>
      <c r="AB45" s="21"/>
      <c r="AC45" s="60">
        <f t="shared" si="0"/>
        <v>3.5108553493455888E-2</v>
      </c>
      <c r="AD45"/>
      <c r="AE45"/>
      <c r="AF45"/>
      <c r="AG45"/>
      <c r="AH45"/>
      <c r="AI45"/>
      <c r="AJ45"/>
      <c r="AK45"/>
      <c r="AL45"/>
      <c r="AM45"/>
      <c r="AN45"/>
      <c r="AO45"/>
      <c r="AP45"/>
      <c r="AQ45"/>
      <c r="AR45" s="1"/>
      <c r="AS45" s="1"/>
      <c r="AT45" s="1"/>
      <c r="AU45" s="1"/>
      <c r="AV45" s="1"/>
      <c r="AW45" s="1"/>
      <c r="AX45" s="1"/>
    </row>
    <row r="46" spans="1:50" s="1" customFormat="1" x14ac:dyDescent="0.2">
      <c r="A46" s="152" t="s">
        <v>114</v>
      </c>
      <c r="B46" s="28" t="s">
        <v>111</v>
      </c>
      <c r="C46" s="144">
        <v>-15</v>
      </c>
      <c r="D46" s="145">
        <v>15</v>
      </c>
      <c r="E46" s="146" t="s">
        <v>112</v>
      </c>
      <c r="F46" s="7">
        <v>0.29463961291606711</v>
      </c>
      <c r="G46" s="7">
        <v>1.1166841329518944</v>
      </c>
      <c r="H46" s="7">
        <v>-0.6639397702516503</v>
      </c>
      <c r="I46" s="7">
        <v>-2.5163317292537544</v>
      </c>
      <c r="J46" s="147">
        <v>1003.3584342825768</v>
      </c>
      <c r="K46" s="147">
        <v>-2685.5173062197</v>
      </c>
      <c r="L46" s="147">
        <v>214.92248982272241</v>
      </c>
      <c r="M46" s="7">
        <v>0.11275975422132424</v>
      </c>
      <c r="N46" s="7">
        <v>0.4273594684988189</v>
      </c>
      <c r="O46" s="7">
        <v>-0.71757491445081234</v>
      </c>
      <c r="P46" s="7">
        <v>-2.7196089257685783</v>
      </c>
      <c r="Q46" s="147">
        <v>446.41768775155685</v>
      </c>
      <c r="R46" s="147">
        <v>-2840.8906733593517</v>
      </c>
      <c r="S46" s="7">
        <v>2.1645667260681023</v>
      </c>
      <c r="T46" s="7">
        <v>0.41607782623309075</v>
      </c>
      <c r="U46" s="147">
        <v>29.339459358915221</v>
      </c>
      <c r="V46" s="147">
        <f>IF(ISERR(AVERAGE(V47:V48)),"",AVERAGE(V47:V48))</f>
        <v>446.41768775155685</v>
      </c>
      <c r="W46" s="147">
        <f>IF(ISERR(AVERAGE(W47:W48)),"",AVERAGE(W47:W48))</f>
        <v>58.736320476670379</v>
      </c>
      <c r="X46" s="7">
        <v>8.1706838332934204</v>
      </c>
      <c r="Y46" s="7">
        <v>104.53193383329342</v>
      </c>
      <c r="Z46" s="7" t="s">
        <v>113</v>
      </c>
      <c r="AA46" s="7" t="s">
        <v>113</v>
      </c>
      <c r="AB46" s="12"/>
      <c r="AC46" s="7">
        <f t="shared" si="0"/>
        <v>3.5406562825495813E-2</v>
      </c>
      <c r="AD46"/>
      <c r="AE46"/>
      <c r="AF46"/>
      <c r="AG46"/>
      <c r="AH46"/>
      <c r="AI46"/>
      <c r="AJ46"/>
      <c r="AK46"/>
      <c r="AL46"/>
      <c r="AM46"/>
      <c r="AN46"/>
      <c r="AO46"/>
      <c r="AP46"/>
      <c r="AQ46"/>
    </row>
    <row r="47" spans="1:50" s="19" customFormat="1" x14ac:dyDescent="0.2">
      <c r="A47" s="152" t="s">
        <v>114</v>
      </c>
      <c r="B47" s="49" t="s">
        <v>111</v>
      </c>
      <c r="C47" s="26">
        <v>-15</v>
      </c>
      <c r="D47" s="35"/>
      <c r="E47" s="31">
        <v>1</v>
      </c>
      <c r="F47" s="60">
        <v>0.29426643472842046</v>
      </c>
      <c r="G47" s="60">
        <v>1.1152697876207136</v>
      </c>
      <c r="H47" s="60">
        <v>-0.66333827016402847</v>
      </c>
      <c r="I47" s="60">
        <v>-2.514052043921668</v>
      </c>
      <c r="J47" s="148">
        <v>1004.05441607964</v>
      </c>
      <c r="K47" s="148">
        <v>-2688.8846761385944</v>
      </c>
      <c r="L47" s="148">
        <v>215.39509997002608</v>
      </c>
      <c r="M47" s="60">
        <v>0.11255497145037593</v>
      </c>
      <c r="N47" s="60">
        <v>0.42658334179692481</v>
      </c>
      <c r="O47" s="60">
        <v>-0.7168973243594835</v>
      </c>
      <c r="P47" s="60">
        <v>-2.7170408593224424</v>
      </c>
      <c r="Q47" s="59">
        <v>445.60694945464053</v>
      </c>
      <c r="R47" s="59">
        <v>-2838.208083246388</v>
      </c>
      <c r="S47" s="60">
        <v>2.169063914219616</v>
      </c>
      <c r="T47" s="60">
        <v>0.41694228573332615</v>
      </c>
      <c r="U47" s="60">
        <v>29.369937793652298</v>
      </c>
      <c r="V47" s="154">
        <f>IF(ISERR(Q47*($V$2/30)^2),"",(Q47*($V$2/30)^2))</f>
        <v>445.60694945464053</v>
      </c>
      <c r="W47" s="155">
        <f>IF(ISERR(((V47/453.59)*$V$2/375)*746),"",(((V47/453.59)*$V$2/375)*746))</f>
        <v>58.62964955896944</v>
      </c>
      <c r="X47" s="60">
        <v>8.2090657586131641</v>
      </c>
      <c r="Y47" s="60">
        <v>104.57031575861316</v>
      </c>
      <c r="Z47" s="18" t="s">
        <v>113</v>
      </c>
      <c r="AA47" s="17" t="s">
        <v>113</v>
      </c>
      <c r="AB47" s="17"/>
      <c r="AC47" s="60">
        <f t="shared" si="0"/>
        <v>3.5342261035418043E-2</v>
      </c>
      <c r="AD47"/>
      <c r="AE47"/>
      <c r="AF47"/>
      <c r="AG47"/>
      <c r="AH47"/>
      <c r="AI47"/>
      <c r="AJ47"/>
      <c r="AK47"/>
      <c r="AL47"/>
      <c r="AM47"/>
      <c r="AN47"/>
      <c r="AO47"/>
      <c r="AP47"/>
      <c r="AQ47"/>
      <c r="AR47" s="1"/>
      <c r="AS47" s="1"/>
      <c r="AT47" s="1"/>
      <c r="AU47" s="1"/>
      <c r="AV47" s="1"/>
      <c r="AW47" s="1"/>
      <c r="AX47" s="1"/>
    </row>
    <row r="48" spans="1:50" s="19" customFormat="1" ht="13.5" thickBot="1" x14ac:dyDescent="0.25">
      <c r="A48" s="153" t="s">
        <v>114</v>
      </c>
      <c r="B48" s="50" t="s">
        <v>111</v>
      </c>
      <c r="C48" s="27">
        <v>-15</v>
      </c>
      <c r="D48" s="36"/>
      <c r="E48" s="32">
        <v>2</v>
      </c>
      <c r="F48" s="60">
        <v>0.29501279110371376</v>
      </c>
      <c r="G48" s="60">
        <v>1.1180984782830752</v>
      </c>
      <c r="H48" s="60">
        <v>-0.66454127033927202</v>
      </c>
      <c r="I48" s="60">
        <v>-2.5186114145858411</v>
      </c>
      <c r="J48" s="148">
        <v>1002.6624524855135</v>
      </c>
      <c r="K48" s="148">
        <v>-2682.1499363008061</v>
      </c>
      <c r="L48" s="148">
        <v>214.44987967541871</v>
      </c>
      <c r="M48" s="60">
        <v>0.11296453699227255</v>
      </c>
      <c r="N48" s="60">
        <v>0.42813559520071298</v>
      </c>
      <c r="O48" s="60">
        <v>-0.71825250454214107</v>
      </c>
      <c r="P48" s="60">
        <v>-2.7221769922147145</v>
      </c>
      <c r="Q48" s="59">
        <v>447.22842604847324</v>
      </c>
      <c r="R48" s="59">
        <v>-2843.5732634723154</v>
      </c>
      <c r="S48" s="60">
        <v>2.1600695379165882</v>
      </c>
      <c r="T48" s="60">
        <v>0.4152133667328553</v>
      </c>
      <c r="U48" s="60">
        <v>29.30898092417814</v>
      </c>
      <c r="V48" s="154">
        <f>IF(ISERR(Q48*($V$2/30)^2),"",(Q48*($V$2/30)^2))</f>
        <v>447.22842604847324</v>
      </c>
      <c r="W48" s="155">
        <f>IF(ISERR(((V48/453.59)*$V$2/375)*746),"",(((V48/453.59)*$V$2/375)*746))</f>
        <v>58.842991394371317</v>
      </c>
      <c r="X48" s="60">
        <v>8.1323019079736749</v>
      </c>
      <c r="Y48" s="60">
        <v>104.49355190797368</v>
      </c>
      <c r="Z48" s="20" t="s">
        <v>113</v>
      </c>
      <c r="AA48" s="21" t="s">
        <v>113</v>
      </c>
      <c r="AB48" s="21"/>
      <c r="AC48" s="60">
        <f t="shared" si="0"/>
        <v>3.5470864615573583E-2</v>
      </c>
      <c r="AD48"/>
      <c r="AE48"/>
      <c r="AF48"/>
      <c r="AG48"/>
      <c r="AH48"/>
      <c r="AI48"/>
      <c r="AJ48"/>
      <c r="AK48"/>
      <c r="AL48"/>
      <c r="AM48"/>
      <c r="AN48"/>
      <c r="AO48"/>
      <c r="AP48"/>
      <c r="AQ48"/>
      <c r="AR48" s="1"/>
      <c r="AS48" s="1"/>
      <c r="AT48" s="1"/>
      <c r="AU48" s="1"/>
      <c r="AV48" s="1"/>
      <c r="AW48" s="1"/>
      <c r="AX48" s="1"/>
    </row>
    <row r="49" spans="1:50" s="1" customFormat="1" x14ac:dyDescent="0.2">
      <c r="A49" s="152" t="s">
        <v>114</v>
      </c>
      <c r="B49" s="28" t="s">
        <v>111</v>
      </c>
      <c r="C49" s="144">
        <v>-20</v>
      </c>
      <c r="D49" s="145">
        <v>16</v>
      </c>
      <c r="E49" s="146" t="s">
        <v>112</v>
      </c>
      <c r="F49" s="7">
        <v>0.45554989702443804</v>
      </c>
      <c r="G49" s="7">
        <v>1.7265341097226203</v>
      </c>
      <c r="H49" s="7">
        <v>-0.93484786780120765</v>
      </c>
      <c r="I49" s="7">
        <v>-3.5430734189665767</v>
      </c>
      <c r="J49" s="147">
        <v>1610.474905694475</v>
      </c>
      <c r="K49" s="147">
        <v>-3725.3016913093197</v>
      </c>
      <c r="L49" s="147">
        <v>228.49312177669196</v>
      </c>
      <c r="M49" s="7">
        <v>0.10834007490058009</v>
      </c>
      <c r="N49" s="7">
        <v>0.41060888387319855</v>
      </c>
      <c r="O49" s="7">
        <v>-1.0342768840025272</v>
      </c>
      <c r="P49" s="7">
        <v>-3.9199093903695781</v>
      </c>
      <c r="Q49" s="147">
        <v>428.92010595391179</v>
      </c>
      <c r="R49" s="147">
        <v>-4094.7188847630227</v>
      </c>
      <c r="S49" s="7">
        <v>2.1758489652177779</v>
      </c>
      <c r="T49" s="7">
        <v>0.41824652331408396</v>
      </c>
      <c r="U49" s="147">
        <v>29.415834196162713</v>
      </c>
      <c r="V49" s="147">
        <f>IF(ISERR(AVERAGE(V50:V51)),"",AVERAGE(V50:V51))</f>
        <v>428.92010595391179</v>
      </c>
      <c r="W49" s="147">
        <f>IF(ISERR(AVERAGE(W50:W51)),"",AVERAGE(W50:W51))</f>
        <v>56.434118748935063</v>
      </c>
      <c r="X49" s="7">
        <v>-1.7205832635112281</v>
      </c>
      <c r="Y49" s="7">
        <v>94.640666736488768</v>
      </c>
      <c r="Z49" s="7" t="s">
        <v>113</v>
      </c>
      <c r="AA49" s="7" t="s">
        <v>113</v>
      </c>
      <c r="AB49" s="12"/>
      <c r="AC49" s="7">
        <f t="shared" si="0"/>
        <v>3.4018783518782146E-2</v>
      </c>
      <c r="AD49"/>
      <c r="AE49"/>
      <c r="AF49"/>
      <c r="AG49"/>
      <c r="AH49"/>
      <c r="AI49"/>
      <c r="AJ49"/>
      <c r="AK49"/>
      <c r="AL49"/>
      <c r="AM49"/>
      <c r="AN49"/>
      <c r="AO49"/>
      <c r="AP49"/>
      <c r="AQ49"/>
    </row>
    <row r="50" spans="1:50" s="19" customFormat="1" x14ac:dyDescent="0.2">
      <c r="A50" s="152" t="s">
        <v>114</v>
      </c>
      <c r="B50" s="49" t="s">
        <v>111</v>
      </c>
      <c r="C50" s="26">
        <v>-20</v>
      </c>
      <c r="D50" s="35"/>
      <c r="E50" s="31">
        <v>1</v>
      </c>
      <c r="F50" s="60">
        <v>0.45461826243321768</v>
      </c>
      <c r="G50" s="60">
        <v>1.723003214621895</v>
      </c>
      <c r="H50" s="60">
        <v>-0.93376476234417161</v>
      </c>
      <c r="I50" s="60">
        <v>-3.5389684492844102</v>
      </c>
      <c r="J50" s="148">
        <v>1608.6265095382889</v>
      </c>
      <c r="K50" s="148">
        <v>-3725.4463466607781</v>
      </c>
      <c r="L50" s="148">
        <v>229.13605977429663</v>
      </c>
      <c r="M50" s="60">
        <v>0.10783506863359371</v>
      </c>
      <c r="N50" s="60">
        <v>0.40869491012132014</v>
      </c>
      <c r="O50" s="60">
        <v>-1.0329404600006011</v>
      </c>
      <c r="P50" s="60">
        <v>-3.9148443434022782</v>
      </c>
      <c r="Q50" s="59">
        <v>426.9207779883186</v>
      </c>
      <c r="R50" s="59">
        <v>-4089.4279605594766</v>
      </c>
      <c r="S50" s="60">
        <v>2.1780598319358413</v>
      </c>
      <c r="T50" s="60">
        <v>0.41867150102766726</v>
      </c>
      <c r="U50" s="60">
        <v>29.430778823899786</v>
      </c>
      <c r="V50" s="154">
        <f>IF(ISERR(Q50*($V$2/30)^2),"",(Q50*($V$2/30)^2))</f>
        <v>426.9207779883186</v>
      </c>
      <c r="W50" s="155">
        <f>IF(ISERR(((V50/453.59)*$V$2/375)*746),"",(((V50/453.59)*$V$2/375)*746))</f>
        <v>56.171062039160596</v>
      </c>
      <c r="X50" s="60">
        <v>-1.6378276147286017</v>
      </c>
      <c r="Y50" s="60">
        <v>94.723422385271405</v>
      </c>
      <c r="Z50" s="18" t="s">
        <v>113</v>
      </c>
      <c r="AA50" s="17" t="s">
        <v>113</v>
      </c>
      <c r="AB50" s="17"/>
      <c r="AC50" s="60">
        <f t="shared" si="0"/>
        <v>3.3860211550948427E-2</v>
      </c>
      <c r="AD50"/>
      <c r="AE50"/>
      <c r="AF50"/>
      <c r="AG50"/>
      <c r="AH50"/>
      <c r="AI50"/>
      <c r="AJ50"/>
      <c r="AK50"/>
      <c r="AL50"/>
      <c r="AM50"/>
      <c r="AN50"/>
      <c r="AO50"/>
      <c r="AP50"/>
      <c r="AQ50"/>
      <c r="AR50" s="1"/>
      <c r="AS50" s="1"/>
      <c r="AT50" s="1"/>
      <c r="AU50" s="1"/>
      <c r="AV50" s="1"/>
      <c r="AW50" s="1"/>
      <c r="AX50" s="1"/>
    </row>
    <row r="51" spans="1:50" s="19" customFormat="1" ht="13.5" thickBot="1" x14ac:dyDescent="0.25">
      <c r="A51" s="153" t="s">
        <v>114</v>
      </c>
      <c r="B51" s="50" t="s">
        <v>111</v>
      </c>
      <c r="C51" s="27">
        <v>-20</v>
      </c>
      <c r="D51" s="36"/>
      <c r="E51" s="32">
        <v>2</v>
      </c>
      <c r="F51" s="60">
        <v>0.45648153161565841</v>
      </c>
      <c r="G51" s="60">
        <v>1.7300650048233455</v>
      </c>
      <c r="H51" s="60">
        <v>-0.9359309732582437</v>
      </c>
      <c r="I51" s="60">
        <v>-3.5471783886487436</v>
      </c>
      <c r="J51" s="148">
        <v>1612.323301850661</v>
      </c>
      <c r="K51" s="148">
        <v>-3725.1570359578609</v>
      </c>
      <c r="L51" s="148">
        <v>227.85018377908727</v>
      </c>
      <c r="M51" s="60">
        <v>0.10884508116756647</v>
      </c>
      <c r="N51" s="60">
        <v>0.41252285762507696</v>
      </c>
      <c r="O51" s="60">
        <v>-1.0356133080044532</v>
      </c>
      <c r="P51" s="60">
        <v>-3.9249744373368776</v>
      </c>
      <c r="Q51" s="59">
        <v>430.91943391950497</v>
      </c>
      <c r="R51" s="59">
        <v>-4100.0098089665689</v>
      </c>
      <c r="S51" s="60">
        <v>2.1736380984997141</v>
      </c>
      <c r="T51" s="60">
        <v>0.41782154560050061</v>
      </c>
      <c r="U51" s="60">
        <v>29.400889568425644</v>
      </c>
      <c r="V51" s="154">
        <f>IF(ISERR(Q51*($V$2/30)^2),"",(Q51*($V$2/30)^2))</f>
        <v>430.91943391950497</v>
      </c>
      <c r="W51" s="155">
        <f>IF(ISERR(((V51/453.59)*$V$2/375)*746),"",(((V51/453.59)*$V$2/375)*746))</f>
        <v>56.69717545870953</v>
      </c>
      <c r="X51" s="60">
        <v>-1.8033389122938546</v>
      </c>
      <c r="Y51" s="60">
        <v>94.557911087706131</v>
      </c>
      <c r="Z51" s="20" t="s">
        <v>113</v>
      </c>
      <c r="AA51" s="21" t="s">
        <v>113</v>
      </c>
      <c r="AB51" s="21"/>
      <c r="AC51" s="60">
        <f t="shared" si="0"/>
        <v>3.4177355486615872E-2</v>
      </c>
      <c r="AD51"/>
      <c r="AE51"/>
      <c r="AF51"/>
      <c r="AG51"/>
      <c r="AH51"/>
      <c r="AI51"/>
      <c r="AJ51"/>
      <c r="AK51"/>
      <c r="AL51"/>
      <c r="AM51"/>
      <c r="AN51"/>
      <c r="AO51"/>
      <c r="AP51"/>
      <c r="AQ51"/>
      <c r="AR51" s="1"/>
      <c r="AS51" s="1"/>
      <c r="AT51" s="1"/>
      <c r="AU51" s="1"/>
      <c r="AV51" s="1"/>
      <c r="AW51" s="1"/>
      <c r="AX51" s="1"/>
    </row>
    <row r="52" spans="1:50" s="1" customFormat="1" x14ac:dyDescent="0.2">
      <c r="A52" s="152" t="s">
        <v>114</v>
      </c>
      <c r="B52" s="28" t="s">
        <v>111</v>
      </c>
      <c r="C52" s="144">
        <v>-25</v>
      </c>
      <c r="D52" s="145">
        <v>17</v>
      </c>
      <c r="E52" s="146" t="s">
        <v>112</v>
      </c>
      <c r="F52" s="7">
        <v>0.66731343691294653</v>
      </c>
      <c r="G52" s="7">
        <v>2.5291179259000671</v>
      </c>
      <c r="H52" s="7">
        <v>-1.2069176668297859</v>
      </c>
      <c r="I52" s="7">
        <v>-4.5742179572848887</v>
      </c>
      <c r="J52" s="147">
        <v>2421.272591366705</v>
      </c>
      <c r="K52" s="147">
        <v>-4766.9641850461339</v>
      </c>
      <c r="L52" s="147">
        <v>217.33565475719342</v>
      </c>
      <c r="M52" s="7">
        <v>9.4725917848648922E-2</v>
      </c>
      <c r="N52" s="7">
        <v>0.35901122864637941</v>
      </c>
      <c r="O52" s="7">
        <v>-1.3758577245043011</v>
      </c>
      <c r="P52" s="7">
        <v>-5.2145007758713016</v>
      </c>
      <c r="Q52" s="147">
        <v>375.02143835057007</v>
      </c>
      <c r="R52" s="147">
        <v>-5447.0429479898121</v>
      </c>
      <c r="S52" s="7">
        <v>2.1928237482725672</v>
      </c>
      <c r="T52" s="7">
        <v>0.42150945383461569</v>
      </c>
      <c r="U52" s="147">
        <v>29.530280981524619</v>
      </c>
      <c r="V52" s="147">
        <f>IF(ISERR(AVERAGE(V53:V54)),"",AVERAGE(V53:V54))</f>
        <v>375.02143835057007</v>
      </c>
      <c r="W52" s="147">
        <f>IF(ISERR(AVERAGE(W53:W54)),"",AVERAGE(W53:W54))</f>
        <v>49.342532773566489</v>
      </c>
      <c r="X52" s="7">
        <v>-9.870316183247386</v>
      </c>
      <c r="Y52" s="7">
        <v>86.49093381675263</v>
      </c>
      <c r="Z52" s="7" t="s">
        <v>113</v>
      </c>
      <c r="AA52" s="7" t="s">
        <v>113</v>
      </c>
      <c r="AB52" s="12"/>
      <c r="AC52" s="7">
        <f t="shared" si="0"/>
        <v>2.974393820447576E-2</v>
      </c>
      <c r="AD52"/>
      <c r="AE52"/>
      <c r="AF52"/>
      <c r="AG52"/>
      <c r="AH52"/>
      <c r="AI52"/>
      <c r="AJ52"/>
      <c r="AK52"/>
      <c r="AL52"/>
      <c r="AM52"/>
      <c r="AN52"/>
      <c r="AO52"/>
      <c r="AP52"/>
      <c r="AQ52"/>
    </row>
    <row r="53" spans="1:50" s="19" customFormat="1" x14ac:dyDescent="0.2">
      <c r="A53" s="152" t="s">
        <v>114</v>
      </c>
      <c r="B53" s="49" t="s">
        <v>111</v>
      </c>
      <c r="C53" s="26">
        <v>-25</v>
      </c>
      <c r="D53" s="35"/>
      <c r="E53" s="31">
        <v>1</v>
      </c>
      <c r="F53" s="60">
        <v>0.66416765274866718</v>
      </c>
      <c r="G53" s="60">
        <v>2.5171954039174484</v>
      </c>
      <c r="H53" s="60">
        <v>-1.2019882919241542</v>
      </c>
      <c r="I53" s="60">
        <v>-4.5555356263925448</v>
      </c>
      <c r="J53" s="148">
        <v>2420.4888873143473</v>
      </c>
      <c r="K53" s="148">
        <v>-4768.4871992406925</v>
      </c>
      <c r="L53" s="148">
        <v>216.63090492912778</v>
      </c>
      <c r="M53" s="60">
        <v>9.395811301831225E-2</v>
      </c>
      <c r="N53" s="60">
        <v>0.35610124833940343</v>
      </c>
      <c r="O53" s="60">
        <v>-1.3700607278067851</v>
      </c>
      <c r="P53" s="60">
        <v>-5.1925301583877159</v>
      </c>
      <c r="Q53" s="59">
        <v>371.98168662913048</v>
      </c>
      <c r="R53" s="59">
        <v>-5424.0925444572804</v>
      </c>
      <c r="S53" s="60">
        <v>2.2028535421968032</v>
      </c>
      <c r="T53" s="60">
        <v>0.42343740311116324</v>
      </c>
      <c r="U53" s="60">
        <v>29.597815862544419</v>
      </c>
      <c r="V53" s="154">
        <f>IF(ISERR(Q53*($V$2/30)^2),"",(Q53*($V$2/30)^2))</f>
        <v>371.98168662913048</v>
      </c>
      <c r="W53" s="155">
        <f>IF(ISERR(((V53/453.59)*$V$2/375)*746),"",(((V53/453.59)*$V$2/375)*746))</f>
        <v>48.942584840994094</v>
      </c>
      <c r="X53" s="60">
        <v>-9.9336443895793938</v>
      </c>
      <c r="Y53" s="60">
        <v>86.427605610420613</v>
      </c>
      <c r="Z53" s="18" t="s">
        <v>113</v>
      </c>
      <c r="AA53" s="17" t="s">
        <v>113</v>
      </c>
      <c r="AB53" s="17"/>
      <c r="AC53" s="60">
        <f t="shared" si="0"/>
        <v>2.9502847487750047E-2</v>
      </c>
      <c r="AD53"/>
      <c r="AE53"/>
      <c r="AF53"/>
      <c r="AG53"/>
      <c r="AH53"/>
      <c r="AI53"/>
      <c r="AJ53"/>
      <c r="AK53"/>
      <c r="AL53"/>
      <c r="AM53"/>
      <c r="AN53"/>
      <c r="AO53"/>
      <c r="AP53"/>
      <c r="AQ53"/>
      <c r="AR53" s="1"/>
      <c r="AS53" s="1"/>
      <c r="AT53" s="1"/>
      <c r="AU53" s="1"/>
      <c r="AV53" s="1"/>
      <c r="AW53" s="1"/>
      <c r="AX53" s="1"/>
    </row>
    <row r="54" spans="1:50" s="19" customFormat="1" ht="13.5" thickBot="1" x14ac:dyDescent="0.25">
      <c r="A54" s="153" t="s">
        <v>114</v>
      </c>
      <c r="B54" s="50" t="s">
        <v>111</v>
      </c>
      <c r="C54" s="27">
        <v>-25</v>
      </c>
      <c r="D54" s="36"/>
      <c r="E54" s="32">
        <v>2</v>
      </c>
      <c r="F54" s="60">
        <v>0.67045922107722578</v>
      </c>
      <c r="G54" s="60">
        <v>2.5410404478826858</v>
      </c>
      <c r="H54" s="60">
        <v>-1.2118470417354172</v>
      </c>
      <c r="I54" s="60">
        <v>-4.5929002881772316</v>
      </c>
      <c r="J54" s="148">
        <v>2422.0562954190627</v>
      </c>
      <c r="K54" s="148">
        <v>-4765.4411708515745</v>
      </c>
      <c r="L54" s="148">
        <v>218.04040458525904</v>
      </c>
      <c r="M54" s="60">
        <v>9.5493722678985593E-2</v>
      </c>
      <c r="N54" s="60">
        <v>0.36192120895335539</v>
      </c>
      <c r="O54" s="60">
        <v>-1.3816547212018171</v>
      </c>
      <c r="P54" s="60">
        <v>-5.2364713933548872</v>
      </c>
      <c r="Q54" s="59">
        <v>378.06119007200965</v>
      </c>
      <c r="R54" s="59">
        <v>-5469.9933515223438</v>
      </c>
      <c r="S54" s="60">
        <v>2.1827939543483312</v>
      </c>
      <c r="T54" s="60">
        <v>0.41958150455806814</v>
      </c>
      <c r="U54" s="60">
        <v>29.462746100504823</v>
      </c>
      <c r="V54" s="154">
        <f>IF(ISERR(Q54*($V$2/30)^2),"",(Q54*($V$2/30)^2))</f>
        <v>378.06119007200965</v>
      </c>
      <c r="W54" s="155">
        <f>IF(ISERR(((V54/453.59)*$V$2/375)*746),"",(((V54/453.59)*$V$2/375)*746))</f>
        <v>49.742480706138885</v>
      </c>
      <c r="X54" s="60">
        <v>-9.8069879769153783</v>
      </c>
      <c r="Y54" s="60">
        <v>86.554262023084632</v>
      </c>
      <c r="Z54" s="20" t="s">
        <v>113</v>
      </c>
      <c r="AA54" s="21" t="s">
        <v>113</v>
      </c>
      <c r="AB54" s="21"/>
      <c r="AC54" s="60">
        <f t="shared" si="0"/>
        <v>2.9985028921201477E-2</v>
      </c>
      <c r="AD54"/>
      <c r="AE54"/>
      <c r="AF54"/>
      <c r="AG54"/>
      <c r="AH54"/>
      <c r="AI54"/>
      <c r="AJ54"/>
      <c r="AK54"/>
      <c r="AL54"/>
      <c r="AM54"/>
      <c r="AN54"/>
      <c r="AO54"/>
      <c r="AP54"/>
      <c r="AQ54"/>
      <c r="AR54" s="1"/>
      <c r="AS54" s="1"/>
      <c r="AT54" s="1"/>
      <c r="AU54" s="1"/>
      <c r="AV54" s="1"/>
      <c r="AW54" s="1"/>
      <c r="AX54" s="1"/>
    </row>
    <row r="55" spans="1:50" s="1" customFormat="1" x14ac:dyDescent="0.2">
      <c r="A55" s="152" t="s">
        <v>114</v>
      </c>
      <c r="B55" s="28" t="s">
        <v>111</v>
      </c>
      <c r="C55" s="144">
        <v>0</v>
      </c>
      <c r="D55" s="145">
        <v>18</v>
      </c>
      <c r="E55" s="146" t="s">
        <v>112</v>
      </c>
      <c r="F55" s="7">
        <v>0.10076549331967012</v>
      </c>
      <c r="G55" s="7">
        <v>0.38190121968154978</v>
      </c>
      <c r="H55" s="7">
        <v>-1.6855201901921951E-2</v>
      </c>
      <c r="I55" s="7">
        <v>-6.3881215208284187E-2</v>
      </c>
      <c r="J55" s="147">
        <v>280.15799525161685</v>
      </c>
      <c r="K55" s="147">
        <v>-70.478167654038998</v>
      </c>
      <c r="L55" s="147">
        <v>8.1494859730183631</v>
      </c>
      <c r="M55" s="7">
        <v>0.10076521444911749</v>
      </c>
      <c r="N55" s="7">
        <v>0.38190016276215527</v>
      </c>
      <c r="O55" s="7">
        <v>-1.6856868989655226E-2</v>
      </c>
      <c r="P55" s="7">
        <v>-6.3887533470793317E-2</v>
      </c>
      <c r="Q55" s="147">
        <v>398.93111111143139</v>
      </c>
      <c r="R55" s="147">
        <v>-66.736616526516883</v>
      </c>
      <c r="S55" s="7">
        <v>2.1509567808962791</v>
      </c>
      <c r="T55" s="7">
        <v>0.4134616923278403</v>
      </c>
      <c r="U55" s="147">
        <v>29.247078893696163</v>
      </c>
      <c r="V55" s="147">
        <f>IF(ISERR(AVERAGE(V56:V57)),"",AVERAGE(V56:V57))</f>
        <v>398.93111111143139</v>
      </c>
      <c r="W55" s="147">
        <f>IF(ISERR(AVERAGE(W56:W57)),"",AVERAGE(W56:W57))</f>
        <v>52.488389759761517</v>
      </c>
      <c r="X55" s="7">
        <v>32.005589526017012</v>
      </c>
      <c r="Y55" s="7">
        <v>128.36683952601703</v>
      </c>
      <c r="Z55" s="7" t="s">
        <v>113</v>
      </c>
      <c r="AA55" s="7" t="s">
        <v>113</v>
      </c>
      <c r="AB55" s="12"/>
      <c r="AC55" s="7">
        <f t="shared" si="0"/>
        <v>3.164027733702289E-2</v>
      </c>
      <c r="AD55"/>
      <c r="AE55"/>
      <c r="AF55"/>
      <c r="AG55"/>
      <c r="AH55"/>
      <c r="AI55"/>
      <c r="AJ55"/>
      <c r="AK55"/>
      <c r="AL55"/>
      <c r="AM55"/>
      <c r="AN55"/>
      <c r="AO55"/>
      <c r="AP55"/>
      <c r="AQ55"/>
    </row>
    <row r="56" spans="1:50" s="19" customFormat="1" x14ac:dyDescent="0.2">
      <c r="A56" s="152" t="s">
        <v>114</v>
      </c>
      <c r="B56" s="49" t="s">
        <v>111</v>
      </c>
      <c r="C56" s="26">
        <v>-9.4791600000000004E-4</v>
      </c>
      <c r="D56" s="35"/>
      <c r="E56" s="31">
        <v>1</v>
      </c>
      <c r="F56" s="60">
        <v>0.10102155043276861</v>
      </c>
      <c r="G56" s="60">
        <v>0.38287167614019307</v>
      </c>
      <c r="H56" s="60">
        <v>-1.6456088823307607E-2</v>
      </c>
      <c r="I56" s="60">
        <v>-6.2368576640335828E-2</v>
      </c>
      <c r="J56" s="148">
        <v>280.57039366275035</v>
      </c>
      <c r="K56" s="148">
        <v>-68.951709285519442</v>
      </c>
      <c r="L56" s="148">
        <v>8.2177293414004122</v>
      </c>
      <c r="M56" s="60">
        <v>0.10102127816520957</v>
      </c>
      <c r="N56" s="60">
        <v>0.38287064424614431</v>
      </c>
      <c r="O56" s="60">
        <v>-1.6457760147369736E-2</v>
      </c>
      <c r="P56" s="60">
        <v>-6.2374910958531302E-2</v>
      </c>
      <c r="Q56" s="59">
        <v>399.94487149823158</v>
      </c>
      <c r="R56" s="59">
        <v>-65.15653817529433</v>
      </c>
      <c r="S56" s="60">
        <v>2.1468536387096444</v>
      </c>
      <c r="T56" s="60">
        <v>0.41267297721863166</v>
      </c>
      <c r="U56" s="60">
        <v>29.219183160624727</v>
      </c>
      <c r="V56" s="154">
        <f>IF(ISERR(Q56*($V$2/30)^2),"",(Q56*($V$2/30)^2))</f>
        <v>399.94487149823158</v>
      </c>
      <c r="W56" s="155">
        <f>IF(ISERR(((V56/453.59)*$V$2/375)*746),"",(((V56/453.59)*$V$2/375)*746))</f>
        <v>52.621772814688299</v>
      </c>
      <c r="X56" s="60">
        <v>33.949106219135679</v>
      </c>
      <c r="Y56" s="60">
        <v>130.31035621913568</v>
      </c>
      <c r="Z56" s="18" t="s">
        <v>113</v>
      </c>
      <c r="AA56" s="17" t="s">
        <v>113</v>
      </c>
      <c r="AB56" s="17"/>
      <c r="AC56" s="60">
        <f t="shared" si="0"/>
        <v>3.1720681343875803E-2</v>
      </c>
      <c r="AD56"/>
      <c r="AE56"/>
      <c r="AF56"/>
      <c r="AG56"/>
      <c r="AH56"/>
      <c r="AI56"/>
      <c r="AJ56"/>
      <c r="AK56"/>
      <c r="AL56"/>
      <c r="AM56"/>
      <c r="AN56"/>
      <c r="AO56"/>
      <c r="AP56"/>
      <c r="AQ56"/>
      <c r="AR56" s="1"/>
      <c r="AS56" s="1"/>
      <c r="AT56" s="1"/>
      <c r="AU56" s="1"/>
      <c r="AV56" s="1"/>
      <c r="AW56" s="1"/>
      <c r="AX56" s="1"/>
    </row>
    <row r="57" spans="1:50" s="19" customFormat="1" ht="13.5" thickBot="1" x14ac:dyDescent="0.25">
      <c r="A57" s="153" t="s">
        <v>114</v>
      </c>
      <c r="B57" s="50" t="s">
        <v>111</v>
      </c>
      <c r="C57" s="27">
        <v>-9.4791600000000004E-4</v>
      </c>
      <c r="D57" s="36"/>
      <c r="E57" s="32">
        <v>2</v>
      </c>
      <c r="F57" s="60">
        <v>0.10050943620657163</v>
      </c>
      <c r="G57" s="60">
        <v>0.38093076322290648</v>
      </c>
      <c r="H57" s="60">
        <v>-1.7254314980536294E-2</v>
      </c>
      <c r="I57" s="60">
        <v>-6.5393853776232552E-2</v>
      </c>
      <c r="J57" s="148">
        <v>279.7455968404833</v>
      </c>
      <c r="K57" s="148">
        <v>-72.004626022558568</v>
      </c>
      <c r="L57" s="148">
        <v>8.0812426046363139</v>
      </c>
      <c r="M57" s="60">
        <v>0.1005091507330254</v>
      </c>
      <c r="N57" s="60">
        <v>0.38092968127816623</v>
      </c>
      <c r="O57" s="60">
        <v>-1.7255977831940716E-2</v>
      </c>
      <c r="P57" s="60">
        <v>-6.5400155983055319E-2</v>
      </c>
      <c r="Q57" s="59">
        <v>397.91735072463121</v>
      </c>
      <c r="R57" s="59">
        <v>-68.316694877739423</v>
      </c>
      <c r="S57" s="60">
        <v>2.1550599230829137</v>
      </c>
      <c r="T57" s="60">
        <v>0.41425040743704894</v>
      </c>
      <c r="U57" s="60">
        <v>29.274974626767598</v>
      </c>
      <c r="V57" s="154">
        <f>IF(ISERR(Q57*($V$2/30)^2),"",(Q57*($V$2/30)^2))</f>
        <v>397.91735072463121</v>
      </c>
      <c r="W57" s="155">
        <f>IF(ISERR(((V57/453.59)*$V$2/375)*746),"",(((V57/453.59)*$V$2/375)*746))</f>
        <v>52.355006704834736</v>
      </c>
      <c r="X57" s="60">
        <v>30.062072832898348</v>
      </c>
      <c r="Y57" s="60">
        <v>126.42332283289835</v>
      </c>
      <c r="Z57" s="20" t="s">
        <v>113</v>
      </c>
      <c r="AA57" s="21" t="s">
        <v>113</v>
      </c>
      <c r="AB57" s="21"/>
      <c r="AC57" s="60">
        <f t="shared" si="0"/>
        <v>3.1559873330169977E-2</v>
      </c>
      <c r="AD57"/>
      <c r="AE57"/>
      <c r="AF57"/>
      <c r="AG57"/>
      <c r="AH57"/>
      <c r="AI57"/>
      <c r="AJ57"/>
      <c r="AK57"/>
      <c r="AL57"/>
      <c r="AM57"/>
      <c r="AN57"/>
      <c r="AO57"/>
      <c r="AP57"/>
      <c r="AQ57"/>
      <c r="AR57" s="1"/>
      <c r="AS57" s="1"/>
      <c r="AT57" s="1"/>
      <c r="AU57" s="1"/>
      <c r="AV57" s="1"/>
      <c r="AW57" s="1"/>
      <c r="AX57" s="1"/>
    </row>
    <row r="58" spans="1:50" s="1" customFormat="1" x14ac:dyDescent="0.2">
      <c r="A58" s="152" t="s">
        <v>118</v>
      </c>
      <c r="B58" s="28" t="s">
        <v>111</v>
      </c>
      <c r="C58" s="144">
        <v>0</v>
      </c>
      <c r="D58" s="145">
        <v>19</v>
      </c>
      <c r="E58" s="146" t="s">
        <v>112</v>
      </c>
      <c r="F58" s="7">
        <v>0.10197305125941832</v>
      </c>
      <c r="G58" s="7">
        <v>0.38647786427319542</v>
      </c>
      <c r="H58" s="7">
        <v>-1.7332837468325691E-2</v>
      </c>
      <c r="I58" s="7">
        <v>-6.5691454004954367E-2</v>
      </c>
      <c r="J58" s="147">
        <v>286.90610340994385</v>
      </c>
      <c r="K58" s="147">
        <v>-70.369834213735416</v>
      </c>
      <c r="L58" s="147">
        <v>5.8584347091391482</v>
      </c>
      <c r="M58" s="7">
        <v>0.1019727644865757</v>
      </c>
      <c r="N58" s="7">
        <v>0.3864767774041219</v>
      </c>
      <c r="O58" s="7">
        <v>-1.7334524534140364E-2</v>
      </c>
      <c r="P58" s="7">
        <v>-6.5697847984391988E-2</v>
      </c>
      <c r="Q58" s="147">
        <v>403.71182120865558</v>
      </c>
      <c r="R58" s="147">
        <v>-68.627662540081559</v>
      </c>
      <c r="S58" s="7">
        <v>2.1684879529759913</v>
      </c>
      <c r="T58" s="7">
        <v>0.41683157318316266</v>
      </c>
      <c r="U58" s="147">
        <v>29.365575424233047</v>
      </c>
      <c r="V58" s="147">
        <f>IF(ISERR(AVERAGE(V59:V60)),"",AVERAGE(V59:V60))</f>
        <v>403.71182120865558</v>
      </c>
      <c r="W58" s="147">
        <f>IF(ISERR(AVERAGE(W59:W60)),"",AVERAGE(W59:W60))</f>
        <v>53.117400052321628</v>
      </c>
      <c r="X58" s="7">
        <v>14.535431640591455</v>
      </c>
      <c r="Y58" s="7">
        <v>110.89668164059145</v>
      </c>
      <c r="Z58" s="7" t="s">
        <v>113</v>
      </c>
      <c r="AA58" s="7" t="s">
        <v>113</v>
      </c>
      <c r="AB58" s="12"/>
      <c r="AC58" s="7">
        <f t="shared" si="0"/>
        <v>3.2019448048784774E-2</v>
      </c>
      <c r="AD58"/>
      <c r="AE58"/>
      <c r="AF58"/>
      <c r="AG58"/>
      <c r="AH58"/>
      <c r="AI58"/>
      <c r="AJ58"/>
      <c r="AK58"/>
      <c r="AL58"/>
      <c r="AM58"/>
      <c r="AN58"/>
      <c r="AO58"/>
      <c r="AP58"/>
      <c r="AQ58"/>
    </row>
    <row r="59" spans="1:50" s="19" customFormat="1" x14ac:dyDescent="0.2">
      <c r="A59" s="152" t="s">
        <v>114</v>
      </c>
      <c r="B59" s="49" t="s">
        <v>111</v>
      </c>
      <c r="C59" s="26">
        <v>-9.4791600000000004E-4</v>
      </c>
      <c r="D59" s="35"/>
      <c r="E59" s="31">
        <v>1</v>
      </c>
      <c r="F59" s="60">
        <v>0.10104789254820926</v>
      </c>
      <c r="G59" s="60">
        <v>0.38297151275771307</v>
      </c>
      <c r="H59" s="60">
        <v>-1.4871775900656085E-2</v>
      </c>
      <c r="I59" s="60">
        <v>-5.636403066348656E-2</v>
      </c>
      <c r="J59" s="148">
        <v>286.67892526179043</v>
      </c>
      <c r="K59" s="148">
        <v>-61.210222943328255</v>
      </c>
      <c r="L59" s="148">
        <v>5.1478576485693326</v>
      </c>
      <c r="M59" s="60">
        <v>0.10104764649192398</v>
      </c>
      <c r="N59" s="60">
        <v>0.3829705802043919</v>
      </c>
      <c r="O59" s="60">
        <v>-1.4873447660745722E-2</v>
      </c>
      <c r="P59" s="60">
        <v>-5.6370366634226288E-2</v>
      </c>
      <c r="Q59" s="59">
        <v>400.04926412947674</v>
      </c>
      <c r="R59" s="59">
        <v>-58.884219458047085</v>
      </c>
      <c r="S59" s="60">
        <v>2.1928347404740514</v>
      </c>
      <c r="T59" s="60">
        <v>0.42151156678001206</v>
      </c>
      <c r="U59" s="60">
        <v>29.530432221458799</v>
      </c>
      <c r="V59" s="154">
        <f>IF(ISERR(Q59*($V$2/30)^2),"",(Q59*($V$2/30)^2))</f>
        <v>400.04926412947674</v>
      </c>
      <c r="W59" s="155">
        <f>IF(ISERR(((V59/453.59)*$V$2/375)*746),"",(((V59/453.59)*$V$2/375)*746))</f>
        <v>52.635508021003936</v>
      </c>
      <c r="X59" s="60">
        <v>14.925798311545242</v>
      </c>
      <c r="Y59" s="60">
        <v>111.28704831154525</v>
      </c>
      <c r="Z59" s="18" t="s">
        <v>113</v>
      </c>
      <c r="AA59" s="17" t="s">
        <v>113</v>
      </c>
      <c r="AB59" s="17"/>
      <c r="AC59" s="60">
        <f t="shared" si="0"/>
        <v>3.1728960998464131E-2</v>
      </c>
      <c r="AD59"/>
      <c r="AE59"/>
      <c r="AF59"/>
      <c r="AG59"/>
      <c r="AH59"/>
      <c r="AI59"/>
      <c r="AJ59"/>
      <c r="AK59"/>
      <c r="AL59"/>
      <c r="AM59"/>
      <c r="AN59"/>
      <c r="AO59"/>
      <c r="AP59"/>
      <c r="AQ59"/>
      <c r="AR59" s="1"/>
      <c r="AS59" s="1"/>
      <c r="AT59" s="1"/>
      <c r="AU59" s="1"/>
      <c r="AV59" s="1"/>
      <c r="AW59" s="1"/>
      <c r="AX59" s="1"/>
    </row>
    <row r="60" spans="1:50" s="19" customFormat="1" ht="13.5" thickBot="1" x14ac:dyDescent="0.25">
      <c r="A60" s="153" t="s">
        <v>114</v>
      </c>
      <c r="B60" s="50" t="s">
        <v>111</v>
      </c>
      <c r="C60" s="27">
        <v>-9.4791600000000004E-4</v>
      </c>
      <c r="D60" s="36"/>
      <c r="E60" s="32">
        <v>2</v>
      </c>
      <c r="F60" s="60">
        <v>0.10289820997062737</v>
      </c>
      <c r="G60" s="60">
        <v>0.38998421578867776</v>
      </c>
      <c r="H60" s="60">
        <v>-1.9793899035995297E-2</v>
      </c>
      <c r="I60" s="60">
        <v>-7.501887734642218E-2</v>
      </c>
      <c r="J60" s="148">
        <v>287.13328155809728</v>
      </c>
      <c r="K60" s="148">
        <v>-79.52944548414257</v>
      </c>
      <c r="L60" s="148">
        <v>6.5690117697089638</v>
      </c>
      <c r="M60" s="60">
        <v>0.10289788248122743</v>
      </c>
      <c r="N60" s="60">
        <v>0.38998297460385195</v>
      </c>
      <c r="O60" s="60">
        <v>-1.9795601407535009E-2</v>
      </c>
      <c r="P60" s="60">
        <v>-7.5025329334557689E-2</v>
      </c>
      <c r="Q60" s="59">
        <v>407.37437828783442</v>
      </c>
      <c r="R60" s="59">
        <v>-78.371105622116019</v>
      </c>
      <c r="S60" s="60">
        <v>2.1441411654779308</v>
      </c>
      <c r="T60" s="60">
        <v>0.41215157958631332</v>
      </c>
      <c r="U60" s="60">
        <v>29.200718627007294</v>
      </c>
      <c r="V60" s="154">
        <f>IF(ISERR(Q60*($V$2/30)^2),"",(Q60*($V$2/30)^2))</f>
        <v>407.37437828783442</v>
      </c>
      <c r="W60" s="155">
        <f>IF(ISERR(((V60/453.59)*$V$2/375)*746),"",(((V60/453.59)*$V$2/375)*746))</f>
        <v>53.59929208363932</v>
      </c>
      <c r="X60" s="60">
        <v>14.145064969637668</v>
      </c>
      <c r="Y60" s="60">
        <v>110.50631496963767</v>
      </c>
      <c r="Z60" s="20" t="s">
        <v>113</v>
      </c>
      <c r="AA60" s="21" t="s">
        <v>113</v>
      </c>
      <c r="AB60" s="21"/>
      <c r="AC60" s="60">
        <f t="shared" si="0"/>
        <v>3.2309935099105416E-2</v>
      </c>
      <c r="AD60"/>
      <c r="AE60"/>
      <c r="AF60"/>
      <c r="AG60"/>
      <c r="AH60"/>
      <c r="AI60"/>
      <c r="AJ60"/>
      <c r="AK60"/>
      <c r="AL60"/>
      <c r="AM60"/>
      <c r="AN60"/>
      <c r="AO60"/>
      <c r="AP60"/>
      <c r="AQ60"/>
      <c r="AR60" s="1"/>
      <c r="AS60" s="1"/>
      <c r="AT60" s="1"/>
      <c r="AU60" s="1"/>
      <c r="AV60" s="1"/>
      <c r="AW60" s="1"/>
      <c r="AX60" s="1"/>
    </row>
    <row r="61" spans="1:50" s="1" customFormat="1" x14ac:dyDescent="0.2">
      <c r="A61" s="152" t="s">
        <v>114</v>
      </c>
      <c r="B61" s="28" t="s">
        <v>111</v>
      </c>
      <c r="C61" s="144">
        <v>5</v>
      </c>
      <c r="D61" s="145">
        <v>20</v>
      </c>
      <c r="E61" s="146" t="s">
        <v>112</v>
      </c>
      <c r="F61" s="7">
        <v>0.11143000224793906</v>
      </c>
      <c r="G61" s="7">
        <v>0.42231970851968903</v>
      </c>
      <c r="H61" s="7">
        <v>0.15531319005715549</v>
      </c>
      <c r="I61" s="7">
        <v>0.58863699031661931</v>
      </c>
      <c r="J61" s="147">
        <v>319.42322614309364</v>
      </c>
      <c r="K61" s="147">
        <v>665.61487421341189</v>
      </c>
      <c r="L61" s="147">
        <v>-91.604233024310787</v>
      </c>
      <c r="M61" s="7">
        <v>9.7469541009808591E-2</v>
      </c>
      <c r="N61" s="7">
        <v>0.36940956042717454</v>
      </c>
      <c r="O61" s="7">
        <v>0.16443394108894627</v>
      </c>
      <c r="P61" s="7">
        <v>0.62320463672710624</v>
      </c>
      <c r="Q61" s="147">
        <v>385.88348674828546</v>
      </c>
      <c r="R61" s="147">
        <v>650.99662796995608</v>
      </c>
      <c r="S61" s="7">
        <v>2.1498294107396152</v>
      </c>
      <c r="T61" s="7">
        <v>0.41324498673105936</v>
      </c>
      <c r="U61" s="147">
        <v>29.23938274375211</v>
      </c>
      <c r="V61" s="147">
        <f>IF(ISERR(AVERAGE(V62:V63)),"",AVERAGE(V62:V63))</f>
        <v>385.88348674828546</v>
      </c>
      <c r="W61" s="147">
        <f>IF(ISERR(AVERAGE(W62:W63)),"",AVERAGE(W62:W63))</f>
        <v>50.771680348194792</v>
      </c>
      <c r="X61" s="7">
        <v>39.3650531493508</v>
      </c>
      <c r="Y61" s="7">
        <v>135.72630314935083</v>
      </c>
      <c r="Z61" s="7" t="s">
        <v>113</v>
      </c>
      <c r="AA61" s="7" t="s">
        <v>113</v>
      </c>
      <c r="AB61" s="12"/>
      <c r="AC61" s="7">
        <f t="shared" si="0"/>
        <v>3.0605435877079899E-2</v>
      </c>
      <c r="AD61"/>
      <c r="AE61"/>
      <c r="AF61"/>
      <c r="AG61"/>
      <c r="AH61"/>
      <c r="AI61"/>
      <c r="AJ61"/>
      <c r="AK61"/>
      <c r="AL61"/>
      <c r="AM61"/>
      <c r="AN61"/>
      <c r="AO61"/>
      <c r="AP61"/>
      <c r="AQ61"/>
    </row>
    <row r="62" spans="1:50" s="19" customFormat="1" x14ac:dyDescent="0.2">
      <c r="A62" s="152" t="s">
        <v>114</v>
      </c>
      <c r="B62" s="49" t="s">
        <v>111</v>
      </c>
      <c r="C62" s="26">
        <v>5</v>
      </c>
      <c r="D62" s="35"/>
      <c r="E62" s="31">
        <v>1</v>
      </c>
      <c r="F62" s="60">
        <v>0.11170074083496442</v>
      </c>
      <c r="G62" s="60">
        <v>0.42334580776451519</v>
      </c>
      <c r="H62" s="60">
        <v>0.1548051681634546</v>
      </c>
      <c r="I62" s="60">
        <v>0.58671158733949291</v>
      </c>
      <c r="J62" s="148">
        <v>319.31699051136121</v>
      </c>
      <c r="K62" s="148">
        <v>660.31687198314637</v>
      </c>
      <c r="L62" s="148">
        <v>-90.17271937834235</v>
      </c>
      <c r="M62" s="60">
        <v>9.7783526380249688E-2</v>
      </c>
      <c r="N62" s="60">
        <v>0.37059956498114632</v>
      </c>
      <c r="O62" s="60">
        <v>0.16395144879456955</v>
      </c>
      <c r="P62" s="60">
        <v>0.6213759909314186</v>
      </c>
      <c r="Q62" s="59">
        <v>387.12655989994386</v>
      </c>
      <c r="R62" s="59">
        <v>649.08643318546922</v>
      </c>
      <c r="S62" s="60">
        <v>2.1423801595661889</v>
      </c>
      <c r="T62" s="60">
        <v>0.41181307511661186</v>
      </c>
      <c r="U62" s="60">
        <v>29.18872473365148</v>
      </c>
      <c r="V62" s="154">
        <f>IF(ISERR(Q62*($V$2/30)^2),"",(Q62*($V$2/30)^2))</f>
        <v>387.12655989994386</v>
      </c>
      <c r="W62" s="155">
        <f>IF(ISERR(((V62/453.59)*$V$2/375)*746),"",(((V62/453.59)*$V$2/375)*746))</f>
        <v>50.935234671903366</v>
      </c>
      <c r="X62" s="60">
        <v>38.748785857262476</v>
      </c>
      <c r="Y62" s="60">
        <v>135.11003585726249</v>
      </c>
      <c r="Z62" s="18" t="s">
        <v>113</v>
      </c>
      <c r="AA62" s="17" t="s">
        <v>113</v>
      </c>
      <c r="AB62" s="17"/>
      <c r="AC62" s="60">
        <f t="shared" si="0"/>
        <v>3.0704027283398404E-2</v>
      </c>
      <c r="AD62"/>
      <c r="AE62"/>
      <c r="AF62"/>
      <c r="AG62"/>
      <c r="AH62"/>
      <c r="AI62"/>
      <c r="AJ62"/>
      <c r="AK62"/>
      <c r="AL62"/>
      <c r="AM62"/>
      <c r="AN62"/>
      <c r="AO62"/>
      <c r="AP62"/>
      <c r="AQ62"/>
      <c r="AR62" s="1"/>
      <c r="AS62" s="1"/>
      <c r="AT62" s="1"/>
      <c r="AU62" s="1"/>
      <c r="AV62" s="1"/>
      <c r="AW62" s="1"/>
      <c r="AX62" s="1"/>
    </row>
    <row r="63" spans="1:50" s="19" customFormat="1" ht="13.5" thickBot="1" x14ac:dyDescent="0.25">
      <c r="A63" s="153" t="s">
        <v>114</v>
      </c>
      <c r="B63" s="50" t="s">
        <v>111</v>
      </c>
      <c r="C63" s="27">
        <v>5</v>
      </c>
      <c r="D63" s="36"/>
      <c r="E63" s="32">
        <v>2</v>
      </c>
      <c r="F63" s="60">
        <v>0.11115926366091369</v>
      </c>
      <c r="G63" s="60">
        <v>0.42129360927486292</v>
      </c>
      <c r="H63" s="60">
        <v>0.15582121195085638</v>
      </c>
      <c r="I63" s="60">
        <v>0.59056239329374571</v>
      </c>
      <c r="J63" s="148">
        <v>319.52946177482613</v>
      </c>
      <c r="K63" s="148">
        <v>670.91287644367731</v>
      </c>
      <c r="L63" s="148">
        <v>-93.035746670279238</v>
      </c>
      <c r="M63" s="60">
        <v>9.7155555639367494E-2</v>
      </c>
      <c r="N63" s="60">
        <v>0.36821955587320282</v>
      </c>
      <c r="O63" s="60">
        <v>0.16491643338332296</v>
      </c>
      <c r="P63" s="60">
        <v>0.625033282522794</v>
      </c>
      <c r="Q63" s="59">
        <v>384.64041359662707</v>
      </c>
      <c r="R63" s="59">
        <v>652.90682275444294</v>
      </c>
      <c r="S63" s="60">
        <v>2.1572786619130411</v>
      </c>
      <c r="T63" s="60">
        <v>0.41467689834550681</v>
      </c>
      <c r="U63" s="60">
        <v>29.29004075385274</v>
      </c>
      <c r="V63" s="154">
        <f>IF(ISERR(Q63*($V$2/30)^2),"",(Q63*($V$2/30)^2))</f>
        <v>384.64041359662707</v>
      </c>
      <c r="W63" s="155">
        <f>IF(ISERR(((V63/453.59)*$V$2/375)*746),"",(((V63/453.59)*$V$2/375)*746))</f>
        <v>50.608126024486218</v>
      </c>
      <c r="X63" s="60">
        <v>39.981320441439131</v>
      </c>
      <c r="Y63" s="60">
        <v>136.34257044143914</v>
      </c>
      <c r="Z63" s="20" t="s">
        <v>113</v>
      </c>
      <c r="AA63" s="21" t="s">
        <v>113</v>
      </c>
      <c r="AB63" s="21"/>
      <c r="AC63" s="60">
        <f t="shared" si="0"/>
        <v>3.0506844470761393E-2</v>
      </c>
      <c r="AD63"/>
      <c r="AE63"/>
      <c r="AF63"/>
      <c r="AG63"/>
      <c r="AH63"/>
      <c r="AI63"/>
      <c r="AJ63"/>
      <c r="AK63"/>
      <c r="AL63"/>
      <c r="AM63"/>
      <c r="AN63"/>
      <c r="AO63"/>
      <c r="AP63"/>
      <c r="AQ63"/>
      <c r="AR63" s="1"/>
      <c r="AS63" s="1"/>
      <c r="AT63" s="1"/>
      <c r="AU63" s="1"/>
      <c r="AV63" s="1"/>
      <c r="AW63" s="1"/>
      <c r="AX63" s="1"/>
    </row>
    <row r="64" spans="1:50" s="1" customFormat="1" x14ac:dyDescent="0.2">
      <c r="A64" s="152" t="s">
        <v>114</v>
      </c>
      <c r="B64" s="28" t="s">
        <v>111</v>
      </c>
      <c r="C64" s="144">
        <v>-5</v>
      </c>
      <c r="D64" s="145">
        <v>21</v>
      </c>
      <c r="E64" s="146" t="s">
        <v>112</v>
      </c>
      <c r="F64" s="7">
        <v>0.12192870283597074</v>
      </c>
      <c r="G64" s="7">
        <v>0.46210978374832912</v>
      </c>
      <c r="H64" s="7">
        <v>-0.19019509262047396</v>
      </c>
      <c r="I64" s="7">
        <v>-0.72083940103159627</v>
      </c>
      <c r="J64" s="147">
        <v>358.48463140522392</v>
      </c>
      <c r="K64" s="147">
        <v>-804.13412134707642</v>
      </c>
      <c r="L64" s="147">
        <v>100.77287323886691</v>
      </c>
      <c r="M64" s="7">
        <v>0.10488813274610098</v>
      </c>
      <c r="N64" s="7">
        <v>0.39752602310772273</v>
      </c>
      <c r="O64" s="7">
        <v>-0.20009812952951217</v>
      </c>
      <c r="P64" s="7">
        <v>-0.75837191091685108</v>
      </c>
      <c r="Q64" s="147">
        <v>415.25381122405622</v>
      </c>
      <c r="R64" s="147">
        <v>-792.19172589401978</v>
      </c>
      <c r="S64" s="7">
        <v>2.1514324519335202</v>
      </c>
      <c r="T64" s="7">
        <v>0.41355312687166557</v>
      </c>
      <c r="U64" s="147">
        <v>29.250183730820762</v>
      </c>
      <c r="V64" s="147">
        <f>IF(ISERR(AVERAGE(V65:V66)),"",AVERAGE(V65:V66))</f>
        <v>415.25381122405622</v>
      </c>
      <c r="W64" s="147">
        <f>IF(ISERR(AVERAGE(W65:W66)),"",AVERAGE(W65:W66))</f>
        <v>54.636009290001276</v>
      </c>
      <c r="X64" s="7">
        <v>33.15190395428229</v>
      </c>
      <c r="Y64" s="7">
        <v>129.5131539542823</v>
      </c>
      <c r="Z64" s="7" t="s">
        <v>113</v>
      </c>
      <c r="AA64" s="7" t="s">
        <v>113</v>
      </c>
      <c r="AB64" s="12"/>
      <c r="AC64" s="7">
        <f t="shared" si="0"/>
        <v>3.2934873682275712E-2</v>
      </c>
      <c r="AD64"/>
      <c r="AE64"/>
      <c r="AF64"/>
      <c r="AG64"/>
      <c r="AH64"/>
      <c r="AI64"/>
      <c r="AJ64"/>
      <c r="AK64"/>
      <c r="AL64"/>
      <c r="AM64"/>
      <c r="AN64"/>
      <c r="AO64"/>
      <c r="AP64"/>
      <c r="AQ64"/>
    </row>
    <row r="65" spans="1:50" s="19" customFormat="1" x14ac:dyDescent="0.2">
      <c r="A65" s="152" t="s">
        <v>114</v>
      </c>
      <c r="B65" s="49" t="s">
        <v>111</v>
      </c>
      <c r="C65" s="26">
        <v>-5</v>
      </c>
      <c r="D65" s="35"/>
      <c r="E65" s="31">
        <v>1</v>
      </c>
      <c r="F65" s="60">
        <v>0.12236730770759499</v>
      </c>
      <c r="G65" s="60">
        <v>0.463772096211785</v>
      </c>
      <c r="H65" s="60">
        <v>-0.19379510094051927</v>
      </c>
      <c r="I65" s="60">
        <v>-0.73448343256456805</v>
      </c>
      <c r="J65" s="148">
        <v>357.87118119680503</v>
      </c>
      <c r="K65" s="148">
        <v>-813.39085835023843</v>
      </c>
      <c r="L65" s="148">
        <v>101.10165865279359</v>
      </c>
      <c r="M65" s="60">
        <v>0.10501130719473897</v>
      </c>
      <c r="N65" s="60">
        <v>0.39799285426806069</v>
      </c>
      <c r="O65" s="60">
        <v>-0.20372266566438663</v>
      </c>
      <c r="P65" s="60">
        <v>-0.77210890286802536</v>
      </c>
      <c r="Q65" s="59">
        <v>415.74146085517475</v>
      </c>
      <c r="R65" s="59">
        <v>-806.54132297922376</v>
      </c>
      <c r="S65" s="60">
        <v>2.1380156696115575</v>
      </c>
      <c r="T65" s="60">
        <v>0.4109741231586661</v>
      </c>
      <c r="U65" s="60">
        <v>29.158977715201861</v>
      </c>
      <c r="V65" s="154">
        <f>IF(ISERR(Q65*($V$2/30)^2),"",(Q65*($V$2/30)^2))</f>
        <v>415.74146085517475</v>
      </c>
      <c r="W65" s="155">
        <f>IF(ISERR(((V65/453.59)*$V$2/375)*746),"",(((V65/453.59)*$V$2/375)*746))</f>
        <v>54.70017060304864</v>
      </c>
      <c r="X65" s="60">
        <v>32.657139274357654</v>
      </c>
      <c r="Y65" s="60">
        <v>129.01838927435765</v>
      </c>
      <c r="Z65" s="18" t="s">
        <v>113</v>
      </c>
      <c r="AA65" s="17" t="s">
        <v>113</v>
      </c>
      <c r="AB65" s="17"/>
      <c r="AC65" s="60">
        <f t="shared" si="0"/>
        <v>3.2973550459148036E-2</v>
      </c>
      <c r="AD65"/>
      <c r="AE65"/>
      <c r="AF65"/>
      <c r="AG65"/>
      <c r="AH65"/>
      <c r="AI65"/>
      <c r="AJ65"/>
      <c r="AK65"/>
      <c r="AL65"/>
      <c r="AM65"/>
      <c r="AN65"/>
      <c r="AO65"/>
      <c r="AP65"/>
      <c r="AQ65"/>
      <c r="AR65" s="1"/>
      <c r="AS65" s="1"/>
      <c r="AT65" s="1"/>
      <c r="AU65" s="1"/>
      <c r="AV65" s="1"/>
      <c r="AW65" s="1"/>
      <c r="AX65" s="1"/>
    </row>
    <row r="66" spans="1:50" s="19" customFormat="1" ht="13.5" thickBot="1" x14ac:dyDescent="0.25">
      <c r="A66" s="153" t="s">
        <v>114</v>
      </c>
      <c r="B66" s="50" t="s">
        <v>111</v>
      </c>
      <c r="C66" s="27">
        <v>-5</v>
      </c>
      <c r="D66" s="36"/>
      <c r="E66" s="32">
        <v>2</v>
      </c>
      <c r="F66" s="60">
        <v>0.12149009796434648</v>
      </c>
      <c r="G66" s="60">
        <v>0.46044747128487318</v>
      </c>
      <c r="H66" s="60">
        <v>-0.18659508430042862</v>
      </c>
      <c r="I66" s="60">
        <v>-0.70719536949862449</v>
      </c>
      <c r="J66" s="148">
        <v>359.09808161364288</v>
      </c>
      <c r="K66" s="148">
        <v>-794.87738434391429</v>
      </c>
      <c r="L66" s="148">
        <v>100.44408782494021</v>
      </c>
      <c r="M66" s="60">
        <v>0.10476495829746299</v>
      </c>
      <c r="N66" s="60">
        <v>0.39705919194738476</v>
      </c>
      <c r="O66" s="60">
        <v>-0.19647359339463769</v>
      </c>
      <c r="P66" s="60">
        <v>-0.7446349189656768</v>
      </c>
      <c r="Q66" s="59">
        <v>414.76616159293775</v>
      </c>
      <c r="R66" s="59">
        <v>-777.8421288088158</v>
      </c>
      <c r="S66" s="60">
        <v>2.1648492342554828</v>
      </c>
      <c r="T66" s="60">
        <v>0.41613213058466503</v>
      </c>
      <c r="U66" s="60">
        <v>29.341389746439663</v>
      </c>
      <c r="V66" s="154">
        <f>IF(ISERR(Q66*($V$2/30)^2),"",(Q66*($V$2/30)^2))</f>
        <v>414.76616159293775</v>
      </c>
      <c r="W66" s="155">
        <f>IF(ISERR(((V66/453.59)*$V$2/375)*746),"",(((V66/453.59)*$V$2/375)*746))</f>
        <v>54.571847976953912</v>
      </c>
      <c r="X66" s="60">
        <v>33.646668634206932</v>
      </c>
      <c r="Y66" s="60">
        <v>130.00791863420693</v>
      </c>
      <c r="Z66" s="20" t="s">
        <v>113</v>
      </c>
      <c r="AA66" s="21" t="s">
        <v>113</v>
      </c>
      <c r="AB66" s="21"/>
      <c r="AC66" s="60">
        <f t="shared" si="0"/>
        <v>3.289619690540338E-2</v>
      </c>
      <c r="AD66"/>
      <c r="AE66"/>
      <c r="AF66"/>
      <c r="AG66"/>
      <c r="AH66"/>
      <c r="AI66"/>
      <c r="AJ66"/>
      <c r="AK66"/>
      <c r="AL66"/>
      <c r="AM66"/>
      <c r="AN66"/>
      <c r="AO66"/>
      <c r="AP66"/>
      <c r="AQ66"/>
      <c r="AR66" s="1"/>
      <c r="AS66" s="1"/>
      <c r="AT66" s="1"/>
      <c r="AU66" s="1"/>
      <c r="AV66" s="1"/>
      <c r="AW66" s="1"/>
      <c r="AX66" s="1"/>
    </row>
    <row r="67" spans="1:50" s="1" customFormat="1" x14ac:dyDescent="0.2">
      <c r="A67" s="152" t="s">
        <v>119</v>
      </c>
      <c r="B67" s="28" t="s">
        <v>111</v>
      </c>
      <c r="C67" s="144">
        <v>0</v>
      </c>
      <c r="D67" s="145">
        <v>22</v>
      </c>
      <c r="E67" s="146" t="s">
        <v>112</v>
      </c>
      <c r="F67" s="7">
        <v>0.1045132384118672</v>
      </c>
      <c r="G67" s="7">
        <v>0.39610517358097669</v>
      </c>
      <c r="H67" s="7">
        <v>-1.7908796252429363E-2</v>
      </c>
      <c r="I67" s="7">
        <v>-6.787433779670729E-2</v>
      </c>
      <c r="J67" s="147">
        <v>297.00428455420251</v>
      </c>
      <c r="K67" s="147">
        <v>-72.707051376193604</v>
      </c>
      <c r="L67" s="147">
        <v>5.8203634554206314</v>
      </c>
      <c r="M67" s="7">
        <v>0.1045132384118672</v>
      </c>
      <c r="N67" s="7">
        <v>0.39610517358097669</v>
      </c>
      <c r="O67" s="7">
        <v>-1.7908796252429363E-2</v>
      </c>
      <c r="P67" s="7">
        <v>-6.787433779670729E-2</v>
      </c>
      <c r="Q67" s="147">
        <v>413.76959850121443</v>
      </c>
      <c r="R67" s="147">
        <v>-70.901213545846389</v>
      </c>
      <c r="S67" s="7">
        <v>2.1729485536875797</v>
      </c>
      <c r="T67" s="7">
        <v>0.41768899976439033</v>
      </c>
      <c r="U67" s="147">
        <v>29.396096403976017</v>
      </c>
      <c r="V67" s="147">
        <f>IF(ISERR(AVERAGE(V68:V69)),"",AVERAGE(V68:V69))</f>
        <v>413.76959850121443</v>
      </c>
      <c r="W67" s="147">
        <f>IF(ISERR(AVERAGE(W68:W69)),"",AVERAGE(W68:W69))</f>
        <v>54.440727614260624</v>
      </c>
      <c r="X67" s="7">
        <v>12.738227821568824</v>
      </c>
      <c r="Y67" s="7">
        <v>109.09947782156883</v>
      </c>
      <c r="Z67" s="7" t="s">
        <v>113</v>
      </c>
      <c r="AA67" s="7" t="s">
        <v>113</v>
      </c>
      <c r="AB67" s="12"/>
      <c r="AC67" s="7">
        <f t="shared" si="0"/>
        <v>3.2817156861326302E-2</v>
      </c>
      <c r="AD67"/>
      <c r="AE67"/>
      <c r="AF67"/>
      <c r="AG67"/>
      <c r="AH67"/>
      <c r="AI67"/>
      <c r="AJ67"/>
      <c r="AK67"/>
      <c r="AL67"/>
      <c r="AM67"/>
      <c r="AN67"/>
      <c r="AO67"/>
      <c r="AP67"/>
      <c r="AQ67"/>
    </row>
    <row r="68" spans="1:50" s="19" customFormat="1" x14ac:dyDescent="0.2">
      <c r="A68" s="152" t="s">
        <v>120</v>
      </c>
      <c r="B68" s="49" t="s">
        <v>111</v>
      </c>
      <c r="C68" s="26">
        <v>0</v>
      </c>
      <c r="D68" s="35"/>
      <c r="E68" s="31">
        <v>1</v>
      </c>
      <c r="F68" s="60">
        <v>0.10362295277311009</v>
      </c>
      <c r="G68" s="60">
        <v>0.39273099101008724</v>
      </c>
      <c r="H68" s="60">
        <v>-1.7360981286921442E-2</v>
      </c>
      <c r="I68" s="60">
        <v>-6.5798119077432271E-2</v>
      </c>
      <c r="J68" s="148">
        <v>295.44094246878751</v>
      </c>
      <c r="K68" s="148">
        <v>-70.342108597560681</v>
      </c>
      <c r="L68" s="148">
        <v>5.1048656210379422</v>
      </c>
      <c r="M68" s="60">
        <v>0.10362295277311009</v>
      </c>
      <c r="N68" s="60">
        <v>0.39273099101008724</v>
      </c>
      <c r="O68" s="60">
        <v>-1.7360981286921442E-2</v>
      </c>
      <c r="P68" s="60">
        <v>-6.5798119077432271E-2</v>
      </c>
      <c r="Q68" s="59">
        <v>410.24494328147819</v>
      </c>
      <c r="R68" s="59">
        <v>-68.732405251552535</v>
      </c>
      <c r="S68" s="60">
        <v>2.185841406183227</v>
      </c>
      <c r="T68" s="60">
        <v>0.42016729252188695</v>
      </c>
      <c r="U68" s="60">
        <v>29.483305755971369</v>
      </c>
      <c r="V68" s="154">
        <f>IF(ISERR(Q68*($V$2/30)^2),"",(Q68*($V$2/30)^2))</f>
        <v>410.24494328147819</v>
      </c>
      <c r="W68" s="155">
        <f>IF(ISERR(((V68/453.59)*$V$2/375)*746),"",(((V68/453.59)*$V$2/375)*746))</f>
        <v>53.976979684381533</v>
      </c>
      <c r="X68" s="60">
        <v>8.9946431843913341</v>
      </c>
      <c r="Y68" s="60">
        <v>105.35589318439135</v>
      </c>
      <c r="Z68" s="18" t="s">
        <v>113</v>
      </c>
      <c r="AA68" s="17" t="s">
        <v>113</v>
      </c>
      <c r="AB68" s="17"/>
      <c r="AC68" s="60">
        <f t="shared" si="0"/>
        <v>3.2537607170756572E-2</v>
      </c>
      <c r="AD68"/>
      <c r="AE68"/>
      <c r="AF68"/>
      <c r="AG68"/>
      <c r="AH68"/>
      <c r="AI68"/>
      <c r="AJ68"/>
      <c r="AK68"/>
      <c r="AL68"/>
      <c r="AM68"/>
      <c r="AN68"/>
      <c r="AO68"/>
      <c r="AP68"/>
      <c r="AQ68"/>
      <c r="AR68" s="1"/>
      <c r="AS68" s="1"/>
      <c r="AT68" s="1"/>
      <c r="AU68" s="1"/>
      <c r="AV68" s="1"/>
      <c r="AW68" s="1"/>
      <c r="AX68" s="1"/>
    </row>
    <row r="69" spans="1:50" s="19" customFormat="1" ht="13.5" thickBot="1" x14ac:dyDescent="0.25">
      <c r="A69" s="153" t="s">
        <v>114</v>
      </c>
      <c r="B69" s="50" t="s">
        <v>111</v>
      </c>
      <c r="C69" s="27">
        <v>0</v>
      </c>
      <c r="D69" s="36"/>
      <c r="E69" s="32">
        <v>2</v>
      </c>
      <c r="F69" s="60">
        <v>0.10540352405062431</v>
      </c>
      <c r="G69" s="60">
        <v>0.39947935615186614</v>
      </c>
      <c r="H69" s="60">
        <v>-1.8456611217937284E-2</v>
      </c>
      <c r="I69" s="60">
        <v>-6.995055651598231E-2</v>
      </c>
      <c r="J69" s="148">
        <v>298.56762663961757</v>
      </c>
      <c r="K69" s="148">
        <v>-75.071994154826527</v>
      </c>
      <c r="L69" s="148">
        <v>6.5358612898033197</v>
      </c>
      <c r="M69" s="60">
        <v>0.10540352405062431</v>
      </c>
      <c r="N69" s="60">
        <v>0.39947935615186614</v>
      </c>
      <c r="O69" s="60">
        <v>-1.8456611217937284E-2</v>
      </c>
      <c r="P69" s="60">
        <v>-6.995055651598231E-2</v>
      </c>
      <c r="Q69" s="59">
        <v>417.29425372095068</v>
      </c>
      <c r="R69" s="59">
        <v>-73.070021840140242</v>
      </c>
      <c r="S69" s="60">
        <v>2.1600557011919324</v>
      </c>
      <c r="T69" s="60">
        <v>0.41521070700689372</v>
      </c>
      <c r="U69" s="60">
        <v>29.308887051980669</v>
      </c>
      <c r="V69" s="154">
        <f>IF(ISERR(Q69*($V$2/30)^2),"",(Q69*($V$2/30)^2))</f>
        <v>417.29425372095068</v>
      </c>
      <c r="W69" s="155">
        <f>IF(ISERR(((V69/453.59)*$V$2/375)*746),"",(((V69/453.59)*$V$2/375)*746))</f>
        <v>54.904475544139721</v>
      </c>
      <c r="X69" s="60">
        <v>16.481812458746315</v>
      </c>
      <c r="Y69" s="60">
        <v>112.8430624587463</v>
      </c>
      <c r="Z69" s="20" t="s">
        <v>113</v>
      </c>
      <c r="AA69" s="21" t="s">
        <v>113</v>
      </c>
      <c r="AB69" s="21"/>
      <c r="AC69" s="60">
        <f t="shared" ref="AC69:AC132" si="1">IF(ISERR(M69*0.314),"",(M69*0.314))</f>
        <v>3.3096706551896032E-2</v>
      </c>
      <c r="AD69"/>
      <c r="AE69"/>
      <c r="AF69"/>
      <c r="AG69"/>
      <c r="AH69"/>
      <c r="AI69"/>
      <c r="AJ69"/>
      <c r="AK69"/>
      <c r="AL69"/>
      <c r="AM69"/>
      <c r="AN69"/>
      <c r="AO69"/>
      <c r="AP69"/>
      <c r="AQ69"/>
      <c r="AR69" s="1"/>
      <c r="AS69" s="1"/>
      <c r="AT69" s="1"/>
      <c r="AU69" s="1"/>
      <c r="AV69" s="1"/>
      <c r="AW69" s="1"/>
      <c r="AX69" s="1"/>
    </row>
    <row r="70" spans="1:50" s="1" customFormat="1" x14ac:dyDescent="0.2">
      <c r="A70" s="152" t="s">
        <v>114</v>
      </c>
      <c r="B70" s="28" t="s">
        <v>111</v>
      </c>
      <c r="C70" s="144">
        <v>5</v>
      </c>
      <c r="D70" s="145">
        <v>23</v>
      </c>
      <c r="E70" s="146" t="s">
        <v>112</v>
      </c>
      <c r="F70" s="7">
        <v>0.11488565265514265</v>
      </c>
      <c r="G70" s="7">
        <v>0.43541662356299071</v>
      </c>
      <c r="H70" s="7">
        <v>0.15238605711343089</v>
      </c>
      <c r="I70" s="7">
        <v>0.57754315645990317</v>
      </c>
      <c r="J70" s="147">
        <v>332.89904864843618</v>
      </c>
      <c r="K70" s="147">
        <v>657.7463282350933</v>
      </c>
      <c r="L70" s="147">
        <v>-93.368893833284062</v>
      </c>
      <c r="M70" s="7">
        <v>0.10116715806975485</v>
      </c>
      <c r="N70" s="7">
        <v>0.38342352908437088</v>
      </c>
      <c r="O70" s="7">
        <v>0.16181912654771424</v>
      </c>
      <c r="P70" s="7">
        <v>0.61329448961583699</v>
      </c>
      <c r="Q70" s="147">
        <v>400.52241239592365</v>
      </c>
      <c r="R70" s="147">
        <v>640.64453497847285</v>
      </c>
      <c r="S70" s="7">
        <v>2.154375979443107</v>
      </c>
      <c r="T70" s="7">
        <v>0.41411893827073054</v>
      </c>
      <c r="U70" s="147">
        <v>29.270319483848834</v>
      </c>
      <c r="V70" s="147">
        <f>IF(ISERR(AVERAGE(V71:V72)),"",AVERAGE(V71:V72))</f>
        <v>400.52241239592365</v>
      </c>
      <c r="W70" s="147">
        <f>IF(ISERR(AVERAGE(W71:W72)),"",AVERAGE(W71:W72))</f>
        <v>52.697761352297718</v>
      </c>
      <c r="X70" s="7">
        <v>41.514241051816022</v>
      </c>
      <c r="Y70" s="7">
        <v>137.87549105181603</v>
      </c>
      <c r="Z70" s="7" t="s">
        <v>113</v>
      </c>
      <c r="AA70" s="7" t="s">
        <v>113</v>
      </c>
      <c r="AB70" s="12"/>
      <c r="AC70" s="7">
        <f t="shared" si="1"/>
        <v>3.1766487633903023E-2</v>
      </c>
      <c r="AD70"/>
      <c r="AE70"/>
      <c r="AF70"/>
      <c r="AG70"/>
      <c r="AH70"/>
      <c r="AI70"/>
      <c r="AJ70"/>
      <c r="AK70"/>
      <c r="AL70"/>
      <c r="AM70"/>
      <c r="AN70"/>
      <c r="AO70"/>
      <c r="AP70"/>
      <c r="AQ70"/>
    </row>
    <row r="71" spans="1:50" s="19" customFormat="1" x14ac:dyDescent="0.2">
      <c r="A71" s="152" t="s">
        <v>114</v>
      </c>
      <c r="B71" s="49" t="s">
        <v>111</v>
      </c>
      <c r="C71" s="26">
        <v>5</v>
      </c>
      <c r="D71" s="35"/>
      <c r="E71" s="31">
        <v>1</v>
      </c>
      <c r="F71" s="60">
        <v>0.11514512160981849</v>
      </c>
      <c r="G71" s="60">
        <v>0.43640001090121211</v>
      </c>
      <c r="H71" s="60">
        <v>0.1523356689271079</v>
      </c>
      <c r="I71" s="60">
        <v>0.57735218523373899</v>
      </c>
      <c r="J71" s="148">
        <v>333.32848974663119</v>
      </c>
      <c r="K71" s="148">
        <v>656.7494117776813</v>
      </c>
      <c r="L71" s="148">
        <v>-93.459712332813766</v>
      </c>
      <c r="M71" s="60">
        <v>0.10143003128652701</v>
      </c>
      <c r="N71" s="60">
        <v>0.38441981857593738</v>
      </c>
      <c r="O71" s="60">
        <v>0.16179154431311751</v>
      </c>
      <c r="P71" s="60">
        <v>0.61318995294671541</v>
      </c>
      <c r="Q71" s="59">
        <v>401.56313170587271</v>
      </c>
      <c r="R71" s="59">
        <v>640.53533646632002</v>
      </c>
      <c r="S71" s="60">
        <v>2.1509361779706797</v>
      </c>
      <c r="T71" s="60">
        <v>0.41345773198769725</v>
      </c>
      <c r="U71" s="60">
        <v>29.246952125228827</v>
      </c>
      <c r="V71" s="154">
        <f>IF(ISERR(Q71*($V$2/30)^2),"",(Q71*($V$2/30)^2))</f>
        <v>401.56313170587271</v>
      </c>
      <c r="W71" s="155">
        <f>IF(ISERR(((V71/453.59)*$V$2/375)*746),"",(((V71/453.59)*$V$2/375)*746))</f>
        <v>52.834691461907198</v>
      </c>
      <c r="X71" s="60">
        <v>41.697350335033583</v>
      </c>
      <c r="Y71" s="60">
        <v>138.05860033503359</v>
      </c>
      <c r="Z71" s="18" t="s">
        <v>113</v>
      </c>
      <c r="AA71" s="17" t="s">
        <v>113</v>
      </c>
      <c r="AB71" s="17"/>
      <c r="AC71" s="60">
        <f t="shared" si="1"/>
        <v>3.1849029823969484E-2</v>
      </c>
      <c r="AD71"/>
      <c r="AE71"/>
      <c r="AF71"/>
      <c r="AG71"/>
      <c r="AH71"/>
      <c r="AI71"/>
      <c r="AJ71"/>
      <c r="AK71"/>
      <c r="AL71"/>
      <c r="AM71"/>
      <c r="AN71"/>
      <c r="AO71"/>
      <c r="AP71"/>
      <c r="AQ71"/>
      <c r="AR71" s="1"/>
      <c r="AS71" s="1"/>
      <c r="AT71" s="1"/>
      <c r="AU71" s="1"/>
      <c r="AV71" s="1"/>
      <c r="AW71" s="1"/>
      <c r="AX71" s="1"/>
    </row>
    <row r="72" spans="1:50" s="19" customFormat="1" ht="13.5" thickBot="1" x14ac:dyDescent="0.25">
      <c r="A72" s="153" t="s">
        <v>114</v>
      </c>
      <c r="B72" s="50" t="s">
        <v>111</v>
      </c>
      <c r="C72" s="27">
        <v>5</v>
      </c>
      <c r="D72" s="36"/>
      <c r="E72" s="32">
        <v>2</v>
      </c>
      <c r="F72" s="60">
        <v>0.11462618370046682</v>
      </c>
      <c r="G72" s="60">
        <v>0.43443323622476926</v>
      </c>
      <c r="H72" s="60">
        <v>0.15243644529975392</v>
      </c>
      <c r="I72" s="60">
        <v>0.57773412768606736</v>
      </c>
      <c r="J72" s="148">
        <v>332.46960755024116</v>
      </c>
      <c r="K72" s="148">
        <v>658.7432446925053</v>
      </c>
      <c r="L72" s="148">
        <v>-93.278075333754359</v>
      </c>
      <c r="M72" s="60">
        <v>0.10090428485298268</v>
      </c>
      <c r="N72" s="60">
        <v>0.38242723959280439</v>
      </c>
      <c r="O72" s="60">
        <v>0.16184670878231094</v>
      </c>
      <c r="P72" s="60">
        <v>0.61339902628495846</v>
      </c>
      <c r="Q72" s="59">
        <v>399.48169308597454</v>
      </c>
      <c r="R72" s="59">
        <v>640.75373349062568</v>
      </c>
      <c r="S72" s="60">
        <v>2.1578157809155343</v>
      </c>
      <c r="T72" s="60">
        <v>0.41478014455376377</v>
      </c>
      <c r="U72" s="60">
        <v>29.293686842468841</v>
      </c>
      <c r="V72" s="154">
        <f>IF(ISERR(Q72*($V$2/30)^2),"",(Q72*($V$2/30)^2))</f>
        <v>399.48169308597454</v>
      </c>
      <c r="W72" s="155">
        <f>IF(ISERR(((V72/453.59)*$V$2/375)*746),"",(((V72/453.59)*$V$2/375)*746))</f>
        <v>52.560831242688245</v>
      </c>
      <c r="X72" s="60">
        <v>41.33113176859846</v>
      </c>
      <c r="Y72" s="60">
        <v>137.69238176859847</v>
      </c>
      <c r="Z72" s="20" t="s">
        <v>113</v>
      </c>
      <c r="AA72" s="21" t="s">
        <v>113</v>
      </c>
      <c r="AB72" s="21"/>
      <c r="AC72" s="60">
        <f t="shared" si="1"/>
        <v>3.1683945443836563E-2</v>
      </c>
      <c r="AD72"/>
      <c r="AE72"/>
      <c r="AF72"/>
      <c r="AG72"/>
      <c r="AH72"/>
      <c r="AI72"/>
      <c r="AJ72"/>
      <c r="AK72"/>
      <c r="AL72"/>
      <c r="AM72"/>
      <c r="AN72"/>
      <c r="AO72"/>
      <c r="AP72"/>
      <c r="AQ72"/>
      <c r="AR72" s="1"/>
      <c r="AS72" s="1"/>
      <c r="AT72" s="1"/>
      <c r="AU72" s="1"/>
      <c r="AV72" s="1"/>
      <c r="AW72" s="1"/>
      <c r="AX72" s="1"/>
    </row>
    <row r="73" spans="1:50" s="1" customFormat="1" x14ac:dyDescent="0.2">
      <c r="A73" s="152" t="s">
        <v>114</v>
      </c>
      <c r="B73" s="28" t="s">
        <v>111</v>
      </c>
      <c r="C73" s="144">
        <v>-5</v>
      </c>
      <c r="D73" s="145">
        <v>24</v>
      </c>
      <c r="E73" s="146" t="s">
        <v>112</v>
      </c>
      <c r="F73" s="7">
        <v>0.12748218403348266</v>
      </c>
      <c r="G73" s="7">
        <v>0.48315747748689925</v>
      </c>
      <c r="H73" s="7">
        <v>-0.19420342204864421</v>
      </c>
      <c r="I73" s="7">
        <v>-0.73603096956436165</v>
      </c>
      <c r="J73" s="147">
        <v>378.99112447837592</v>
      </c>
      <c r="K73" s="147">
        <v>-820.34738677957353</v>
      </c>
      <c r="L73" s="147">
        <v>102.15267347346074</v>
      </c>
      <c r="M73" s="7">
        <v>0.11007113234252507</v>
      </c>
      <c r="N73" s="7">
        <v>0.41716959157817002</v>
      </c>
      <c r="O73" s="7">
        <v>-0.2045752238326648</v>
      </c>
      <c r="P73" s="7">
        <v>-0.77534009832579953</v>
      </c>
      <c r="Q73" s="147">
        <v>435.77339031884048</v>
      </c>
      <c r="R73" s="147">
        <v>-809.91661453412917</v>
      </c>
      <c r="S73" s="7">
        <v>2.1512161475341571</v>
      </c>
      <c r="T73" s="7">
        <v>0.41351154835934356</v>
      </c>
      <c r="U73" s="147">
        <v>29.248799094133307</v>
      </c>
      <c r="V73" s="147">
        <f>IF(ISERR(AVERAGE(V74:V75)),"",AVERAGE(V74:V75))</f>
        <v>435.77339031884048</v>
      </c>
      <c r="W73" s="147">
        <f>IF(ISERR(AVERAGE(W74:W75)),"",AVERAGE(W74:W75))</f>
        <v>57.335822955154214</v>
      </c>
      <c r="X73" s="7">
        <v>32.61004335301908</v>
      </c>
      <c r="Y73" s="7">
        <v>128.97129335301906</v>
      </c>
      <c r="Z73" s="7" t="s">
        <v>113</v>
      </c>
      <c r="AA73" s="7" t="s">
        <v>113</v>
      </c>
      <c r="AB73" s="12"/>
      <c r="AC73" s="7">
        <f t="shared" si="1"/>
        <v>3.4562335555552874E-2</v>
      </c>
      <c r="AD73"/>
      <c r="AE73"/>
      <c r="AF73"/>
      <c r="AG73"/>
      <c r="AH73"/>
      <c r="AI73"/>
      <c r="AJ73"/>
      <c r="AK73"/>
      <c r="AL73"/>
      <c r="AM73"/>
      <c r="AN73"/>
      <c r="AO73"/>
      <c r="AP73"/>
      <c r="AQ73"/>
    </row>
    <row r="74" spans="1:50" s="19" customFormat="1" x14ac:dyDescent="0.2">
      <c r="A74" s="152" t="s">
        <v>114</v>
      </c>
      <c r="B74" s="49" t="s">
        <v>111</v>
      </c>
      <c r="C74" s="26">
        <v>-5</v>
      </c>
      <c r="D74" s="35"/>
      <c r="E74" s="31">
        <v>1</v>
      </c>
      <c r="F74" s="60">
        <v>0.12711785369230016</v>
      </c>
      <c r="G74" s="60">
        <v>0.48177666549381765</v>
      </c>
      <c r="H74" s="60">
        <v>-0.19404345121341668</v>
      </c>
      <c r="I74" s="60">
        <v>-0.7354246800988492</v>
      </c>
      <c r="J74" s="148">
        <v>379.13213757054973</v>
      </c>
      <c r="K74" s="148">
        <v>-823.13820180152027</v>
      </c>
      <c r="L74" s="148">
        <v>102.71463452029282</v>
      </c>
      <c r="M74" s="60">
        <v>0.10972213076524734</v>
      </c>
      <c r="N74" s="60">
        <v>0.41584687560028744</v>
      </c>
      <c r="O74" s="60">
        <v>-0.20438410825327052</v>
      </c>
      <c r="P74" s="60">
        <v>-0.77461577027989525</v>
      </c>
      <c r="Q74" s="59">
        <v>434.39168743889127</v>
      </c>
      <c r="R74" s="59">
        <v>-809.1599848692664</v>
      </c>
      <c r="S74" s="60">
        <v>2.159664253000062</v>
      </c>
      <c r="T74" s="60">
        <v>0.41513546196556744</v>
      </c>
      <c r="U74" s="60">
        <v>29.306231233737865</v>
      </c>
      <c r="V74" s="154">
        <f>IF(ISERR(Q74*($V$2/30)^2),"",(Q74*($V$2/30)^2))</f>
        <v>434.39168743889127</v>
      </c>
      <c r="W74" s="155">
        <f>IF(ISERR(((V74/453.59)*$V$2/375)*746),"",(((V74/453.59)*$V$2/375)*746))</f>
        <v>57.15402876243531</v>
      </c>
      <c r="X74" s="60">
        <v>32.760750733227788</v>
      </c>
      <c r="Y74" s="60">
        <v>129.12200073322779</v>
      </c>
      <c r="Z74" s="18" t="s">
        <v>113</v>
      </c>
      <c r="AA74" s="17" t="s">
        <v>113</v>
      </c>
      <c r="AB74" s="17"/>
      <c r="AC74" s="60">
        <f t="shared" si="1"/>
        <v>3.4452749060287662E-2</v>
      </c>
      <c r="AD74"/>
      <c r="AE74"/>
      <c r="AF74"/>
      <c r="AG74"/>
      <c r="AH74"/>
      <c r="AI74"/>
      <c r="AJ74"/>
      <c r="AK74"/>
      <c r="AL74"/>
      <c r="AM74"/>
      <c r="AN74"/>
      <c r="AO74"/>
      <c r="AP74"/>
      <c r="AQ74"/>
      <c r="AR74" s="1"/>
      <c r="AS74" s="1"/>
      <c r="AT74" s="1"/>
      <c r="AU74" s="1"/>
      <c r="AV74" s="1"/>
      <c r="AW74" s="1"/>
      <c r="AX74" s="1"/>
    </row>
    <row r="75" spans="1:50" s="19" customFormat="1" ht="13.5" thickBot="1" x14ac:dyDescent="0.25">
      <c r="A75" s="153" t="s">
        <v>114</v>
      </c>
      <c r="B75" s="50" t="s">
        <v>111</v>
      </c>
      <c r="C75" s="27">
        <v>-5</v>
      </c>
      <c r="D75" s="36"/>
      <c r="E75" s="32">
        <v>2</v>
      </c>
      <c r="F75" s="60">
        <v>0.12784651437466513</v>
      </c>
      <c r="G75" s="60">
        <v>0.48453828947998084</v>
      </c>
      <c r="H75" s="60">
        <v>-0.19436339288387175</v>
      </c>
      <c r="I75" s="60">
        <v>-0.73663725902987398</v>
      </c>
      <c r="J75" s="148">
        <v>378.85011138620206</v>
      </c>
      <c r="K75" s="148">
        <v>-817.5565717576269</v>
      </c>
      <c r="L75" s="148">
        <v>101.59071242662866</v>
      </c>
      <c r="M75" s="60">
        <v>0.11042013391980279</v>
      </c>
      <c r="N75" s="60">
        <v>0.4184923075560526</v>
      </c>
      <c r="O75" s="60">
        <v>-0.20476633941205905</v>
      </c>
      <c r="P75" s="60">
        <v>-0.77606442637170381</v>
      </c>
      <c r="Q75" s="59">
        <v>437.1550931987897</v>
      </c>
      <c r="R75" s="59">
        <v>-810.67324419899182</v>
      </c>
      <c r="S75" s="60">
        <v>2.1427680420682527</v>
      </c>
      <c r="T75" s="60">
        <v>0.41188763475311962</v>
      </c>
      <c r="U75" s="60">
        <v>29.19136695452875</v>
      </c>
      <c r="V75" s="154">
        <f>IF(ISERR(Q75*($V$2/30)^2),"",(Q75*($V$2/30)^2))</f>
        <v>437.1550931987897</v>
      </c>
      <c r="W75" s="155">
        <f>IF(ISERR(((V75/453.59)*$V$2/375)*746),"",(((V75/453.59)*$V$2/375)*746))</f>
        <v>57.517617147873118</v>
      </c>
      <c r="X75" s="60">
        <v>32.459335972810372</v>
      </c>
      <c r="Y75" s="60">
        <v>128.82058597281036</v>
      </c>
      <c r="Z75" s="20" t="s">
        <v>113</v>
      </c>
      <c r="AA75" s="21" t="s">
        <v>113</v>
      </c>
      <c r="AB75" s="21"/>
      <c r="AC75" s="60">
        <f t="shared" si="1"/>
        <v>3.467192205081808E-2</v>
      </c>
      <c r="AD75"/>
      <c r="AE75"/>
      <c r="AF75"/>
      <c r="AG75"/>
      <c r="AH75"/>
      <c r="AI75"/>
      <c r="AJ75"/>
      <c r="AK75"/>
      <c r="AL75"/>
      <c r="AM75"/>
      <c r="AN75"/>
      <c r="AO75"/>
      <c r="AP75"/>
      <c r="AQ75"/>
      <c r="AR75" s="1"/>
      <c r="AS75" s="1"/>
      <c r="AT75" s="1"/>
      <c r="AU75" s="1"/>
      <c r="AV75" s="1"/>
      <c r="AW75" s="1"/>
      <c r="AX75" s="1"/>
    </row>
    <row r="76" spans="1:50" s="1" customFormat="1" x14ac:dyDescent="0.2">
      <c r="A76" s="152" t="s">
        <v>121</v>
      </c>
      <c r="B76" s="28" t="s">
        <v>111</v>
      </c>
      <c r="C76" s="144">
        <v>0</v>
      </c>
      <c r="D76" s="145">
        <v>25</v>
      </c>
      <c r="E76" s="146" t="s">
        <v>112</v>
      </c>
      <c r="F76" s="7">
        <v>0.10233441456882225</v>
      </c>
      <c r="G76" s="7">
        <v>0.38784743121583631</v>
      </c>
      <c r="H76" s="7">
        <v>-1.6989538625806239E-2</v>
      </c>
      <c r="I76" s="7">
        <v>-6.4390351391805642E-2</v>
      </c>
      <c r="J76" s="147">
        <v>287.58988714230401</v>
      </c>
      <c r="K76" s="147">
        <v>-70.434240284844009</v>
      </c>
      <c r="L76" s="147">
        <v>7.2716465293798285</v>
      </c>
      <c r="M76" s="7">
        <v>0.10233413347555387</v>
      </c>
      <c r="N76" s="7">
        <v>0.38784636587234911</v>
      </c>
      <c r="O76" s="7">
        <v>-1.6991231670154715E-2</v>
      </c>
      <c r="P76" s="7">
        <v>-6.4396768029886364E-2</v>
      </c>
      <c r="Q76" s="147">
        <v>405.14248687122972</v>
      </c>
      <c r="R76" s="147">
        <v>-67.268560548237176</v>
      </c>
      <c r="S76" s="7">
        <v>2.1632890541103462</v>
      </c>
      <c r="T76" s="7">
        <v>0.41583222929009994</v>
      </c>
      <c r="U76" s="147">
        <v>29.330652982369372</v>
      </c>
      <c r="V76" s="147">
        <f>IF(ISERR(AVERAGE(V77:V78)),"",AVERAGE(V77:V78))</f>
        <v>405.14248687122972</v>
      </c>
      <c r="W76" s="147">
        <f>IF(ISERR(AVERAGE(W77:W78)),"",AVERAGE(W77:W78))</f>
        <v>53.305636403966119</v>
      </c>
      <c r="X76" s="7">
        <v>25.160321102221793</v>
      </c>
      <c r="Y76" s="7">
        <v>121.52157110222178</v>
      </c>
      <c r="Z76" s="7" t="s">
        <v>113</v>
      </c>
      <c r="AA76" s="7" t="s">
        <v>113</v>
      </c>
      <c r="AB76" s="12"/>
      <c r="AC76" s="7">
        <f t="shared" si="1"/>
        <v>3.2132917911323916E-2</v>
      </c>
      <c r="AD76"/>
      <c r="AE76"/>
      <c r="AF76"/>
      <c r="AG76"/>
      <c r="AH76"/>
      <c r="AI76"/>
      <c r="AJ76"/>
      <c r="AK76"/>
      <c r="AL76"/>
      <c r="AM76"/>
      <c r="AN76"/>
      <c r="AO76"/>
      <c r="AP76"/>
      <c r="AQ76"/>
    </row>
    <row r="77" spans="1:50" s="19" customFormat="1" x14ac:dyDescent="0.2">
      <c r="A77" s="152" t="s">
        <v>122</v>
      </c>
      <c r="B77" s="49" t="s">
        <v>111</v>
      </c>
      <c r="C77" s="26">
        <v>-9.4791600000000004E-4</v>
      </c>
      <c r="D77" s="35"/>
      <c r="E77" s="31">
        <v>1</v>
      </c>
      <c r="F77" s="60">
        <v>0.10189421456407299</v>
      </c>
      <c r="G77" s="60">
        <v>0.38617907319783668</v>
      </c>
      <c r="H77" s="60">
        <v>-1.6172103511402986E-2</v>
      </c>
      <c r="I77" s="60">
        <v>-6.1292272308217315E-2</v>
      </c>
      <c r="J77" s="148">
        <v>287.86378128578309</v>
      </c>
      <c r="K77" s="148">
        <v>-67.650485821772051</v>
      </c>
      <c r="L77" s="148">
        <v>7.1080523691431905</v>
      </c>
      <c r="M77" s="60">
        <v>0.10189394699472001</v>
      </c>
      <c r="N77" s="60">
        <v>0.38617805910998887</v>
      </c>
      <c r="O77" s="60">
        <v>-1.6173789273082103E-2</v>
      </c>
      <c r="P77" s="60">
        <v>-6.1298661344981173E-2</v>
      </c>
      <c r="Q77" s="59">
        <v>403.39978148569264</v>
      </c>
      <c r="R77" s="59">
        <v>-64.03229289856688</v>
      </c>
      <c r="S77" s="60">
        <v>2.1776630354889064</v>
      </c>
      <c r="T77" s="60">
        <v>0.41859522793286758</v>
      </c>
      <c r="U77" s="60">
        <v>29.428097868992687</v>
      </c>
      <c r="V77" s="154">
        <f>IF(ISERR(Q77*($V$2/30)^2),"",(Q77*($V$2/30)^2))</f>
        <v>403.39978148569264</v>
      </c>
      <c r="W77" s="155">
        <f>IF(ISERR(((V77/453.59)*$V$2/375)*746),"",(((V77/453.59)*$V$2/375)*746))</f>
        <v>53.076344185423267</v>
      </c>
      <c r="X77" s="60">
        <v>26.117820868413652</v>
      </c>
      <c r="Y77" s="60">
        <v>122.47907086841364</v>
      </c>
      <c r="Z77" s="18" t="s">
        <v>113</v>
      </c>
      <c r="AA77" s="17" t="s">
        <v>113</v>
      </c>
      <c r="AB77" s="17"/>
      <c r="AC77" s="60">
        <f t="shared" si="1"/>
        <v>3.1994699356342082E-2</v>
      </c>
      <c r="AD77"/>
      <c r="AE77"/>
      <c r="AF77"/>
      <c r="AG77"/>
      <c r="AH77"/>
      <c r="AI77"/>
      <c r="AJ77"/>
      <c r="AK77"/>
      <c r="AL77"/>
      <c r="AM77"/>
      <c r="AN77"/>
      <c r="AO77"/>
      <c r="AP77"/>
      <c r="AQ77"/>
      <c r="AR77" s="1"/>
      <c r="AS77" s="1"/>
      <c r="AT77" s="1"/>
      <c r="AU77" s="1"/>
      <c r="AV77" s="1"/>
      <c r="AW77" s="1"/>
      <c r="AX77" s="1"/>
    </row>
    <row r="78" spans="1:50" s="19" customFormat="1" ht="13.5" thickBot="1" x14ac:dyDescent="0.25">
      <c r="A78" s="153" t="s">
        <v>114</v>
      </c>
      <c r="B78" s="50" t="s">
        <v>111</v>
      </c>
      <c r="C78" s="27">
        <v>-9.4791600000000004E-4</v>
      </c>
      <c r="D78" s="36"/>
      <c r="E78" s="32">
        <v>2</v>
      </c>
      <c r="F78" s="60">
        <v>0.10277461457357151</v>
      </c>
      <c r="G78" s="60">
        <v>0.38951578923383601</v>
      </c>
      <c r="H78" s="60">
        <v>-1.7806973740209491E-2</v>
      </c>
      <c r="I78" s="60">
        <v>-6.7488430475393976E-2</v>
      </c>
      <c r="J78" s="148">
        <v>287.31599299882492</v>
      </c>
      <c r="K78" s="148">
        <v>-73.217994747915952</v>
      </c>
      <c r="L78" s="148">
        <v>7.4352406896164664</v>
      </c>
      <c r="M78" s="60">
        <v>0.10277431995638771</v>
      </c>
      <c r="N78" s="60">
        <v>0.3895146726347094</v>
      </c>
      <c r="O78" s="60">
        <v>-1.7808674067227328E-2</v>
      </c>
      <c r="P78" s="60">
        <v>-6.749487471479157E-2</v>
      </c>
      <c r="Q78" s="59">
        <v>406.88519225676674</v>
      </c>
      <c r="R78" s="59">
        <v>-70.504828197907472</v>
      </c>
      <c r="S78" s="60">
        <v>2.1489150727317865</v>
      </c>
      <c r="T78" s="60">
        <v>0.41306923064733231</v>
      </c>
      <c r="U78" s="60">
        <v>29.233208095746058</v>
      </c>
      <c r="V78" s="154">
        <f>IF(ISERR(Q78*($V$2/30)^2),"",(Q78*($V$2/30)^2))</f>
        <v>406.88519225676674</v>
      </c>
      <c r="W78" s="155">
        <f>IF(ISERR(((V78/453.59)*$V$2/375)*746),"",(((V78/453.59)*$V$2/375)*746))</f>
        <v>53.534928622508971</v>
      </c>
      <c r="X78" s="60">
        <v>24.202821336029935</v>
      </c>
      <c r="Y78" s="60">
        <v>120.56407133602993</v>
      </c>
      <c r="Z78" s="20" t="s">
        <v>113</v>
      </c>
      <c r="AA78" s="21" t="s">
        <v>113</v>
      </c>
      <c r="AB78" s="21"/>
      <c r="AC78" s="60">
        <f t="shared" si="1"/>
        <v>3.2271136466305743E-2</v>
      </c>
      <c r="AD78"/>
      <c r="AE78"/>
      <c r="AF78"/>
      <c r="AG78"/>
      <c r="AH78"/>
      <c r="AI78"/>
      <c r="AJ78"/>
      <c r="AK78"/>
      <c r="AL78"/>
      <c r="AM78"/>
      <c r="AN78"/>
      <c r="AO78"/>
      <c r="AP78"/>
      <c r="AQ78"/>
      <c r="AR78" s="1"/>
      <c r="AS78" s="1"/>
      <c r="AT78" s="1"/>
      <c r="AU78" s="1"/>
      <c r="AV78" s="1"/>
      <c r="AW78" s="1"/>
      <c r="AX78" s="1"/>
    </row>
    <row r="79" spans="1:50" s="1" customFormat="1" x14ac:dyDescent="0.2">
      <c r="A79" s="152" t="s">
        <v>114</v>
      </c>
      <c r="B79" s="28" t="s">
        <v>111</v>
      </c>
      <c r="C79" s="144">
        <v>5</v>
      </c>
      <c r="D79" s="145">
        <v>26</v>
      </c>
      <c r="E79" s="146" t="s">
        <v>112</v>
      </c>
      <c r="F79" s="7">
        <v>0.18569518458312881</v>
      </c>
      <c r="G79" s="7">
        <v>0.70378474957005821</v>
      </c>
      <c r="H79" s="7">
        <v>0.2100318074620029</v>
      </c>
      <c r="I79" s="7">
        <v>0.79602055028099095</v>
      </c>
      <c r="J79" s="147">
        <v>591.50087892628312</v>
      </c>
      <c r="K79" s="147">
        <v>886.04228036629388</v>
      </c>
      <c r="L79" s="147">
        <v>-112.9455542209357</v>
      </c>
      <c r="M79" s="7">
        <v>0.16668308016289696</v>
      </c>
      <c r="N79" s="7">
        <v>0.63172887381737963</v>
      </c>
      <c r="O79" s="7">
        <v>0.22541697476127967</v>
      </c>
      <c r="P79" s="7">
        <v>0.85433033434524996</v>
      </c>
      <c r="Q79" s="147">
        <v>659.90100588172425</v>
      </c>
      <c r="R79" s="147">
        <v>892.42944300291083</v>
      </c>
      <c r="S79" s="7">
        <v>2.1411495008278654</v>
      </c>
      <c r="T79" s="7">
        <v>0.41157651515913418</v>
      </c>
      <c r="U79" s="147">
        <v>29.180316330645589</v>
      </c>
      <c r="V79" s="147">
        <f>IF(ISERR(AVERAGE(V80:V81)),"",AVERAGE(V80:V81))</f>
        <v>659.90100588172425</v>
      </c>
      <c r="W79" s="147">
        <f>IF(ISERR(AVERAGE(W80:W81)),"",AVERAGE(W80:W81))</f>
        <v>86.824868341500704</v>
      </c>
      <c r="X79" s="7">
        <v>32.667612908332487</v>
      </c>
      <c r="Y79" s="7">
        <v>129.02886290833248</v>
      </c>
      <c r="Z79" s="7" t="s">
        <v>113</v>
      </c>
      <c r="AA79" s="7" t="s">
        <v>113</v>
      </c>
      <c r="AB79" s="12"/>
      <c r="AC79" s="7">
        <f t="shared" si="1"/>
        <v>5.2338487171149646E-2</v>
      </c>
      <c r="AD79"/>
      <c r="AE79"/>
      <c r="AF79"/>
      <c r="AG79"/>
      <c r="AH79"/>
      <c r="AI79"/>
      <c r="AJ79"/>
      <c r="AK79"/>
      <c r="AL79"/>
      <c r="AM79"/>
      <c r="AN79"/>
      <c r="AO79"/>
      <c r="AP79"/>
      <c r="AQ79"/>
    </row>
    <row r="80" spans="1:50" s="19" customFormat="1" x14ac:dyDescent="0.2">
      <c r="A80" s="152" t="s">
        <v>114</v>
      </c>
      <c r="B80" s="49" t="s">
        <v>111</v>
      </c>
      <c r="C80" s="26">
        <v>5</v>
      </c>
      <c r="D80" s="35"/>
      <c r="E80" s="31">
        <v>1</v>
      </c>
      <c r="F80" s="60">
        <v>0.1861102300130936</v>
      </c>
      <c r="G80" s="60">
        <v>0.70535777174962477</v>
      </c>
      <c r="H80" s="60">
        <v>0.20985929282369434</v>
      </c>
      <c r="I80" s="60">
        <v>0.79536671980180151</v>
      </c>
      <c r="J80" s="148">
        <v>594.53577481798357</v>
      </c>
      <c r="K80" s="148">
        <v>887.93003269606595</v>
      </c>
      <c r="L80" s="148">
        <v>-113.49840751901108</v>
      </c>
      <c r="M80" s="60">
        <v>0.16711158186113173</v>
      </c>
      <c r="N80" s="60">
        <v>0.63335289525368932</v>
      </c>
      <c r="O80" s="60">
        <v>0.22528129018597609</v>
      </c>
      <c r="P80" s="60">
        <v>0.85381608980484935</v>
      </c>
      <c r="Q80" s="59">
        <v>661.59745102427144</v>
      </c>
      <c r="R80" s="59">
        <v>891.8922655783158</v>
      </c>
      <c r="S80" s="60">
        <v>2.1466052805594664</v>
      </c>
      <c r="T80" s="60">
        <v>0.41262523726309747</v>
      </c>
      <c r="U80" s="60">
        <v>29.217493005311713</v>
      </c>
      <c r="V80" s="154">
        <f>IF(ISERR(Q80*($V$2/30)^2),"",(Q80*($V$2/30)^2))</f>
        <v>661.59745102427144</v>
      </c>
      <c r="W80" s="155">
        <f>IF(ISERR(((V80/453.59)*$V$2/375)*746),"",(((V80/453.59)*$V$2/375)*746))</f>
        <v>87.048073981191195</v>
      </c>
      <c r="X80" s="60">
        <v>32.838294586792344</v>
      </c>
      <c r="Y80" s="60">
        <v>129.19954458679234</v>
      </c>
      <c r="Z80" s="18" t="s">
        <v>113</v>
      </c>
      <c r="AA80" s="17" t="s">
        <v>113</v>
      </c>
      <c r="AB80" s="17"/>
      <c r="AC80" s="60">
        <f t="shared" si="1"/>
        <v>5.2473036704395362E-2</v>
      </c>
      <c r="AD80"/>
      <c r="AE80"/>
      <c r="AF80"/>
      <c r="AG80"/>
      <c r="AH80"/>
      <c r="AI80"/>
      <c r="AJ80"/>
      <c r="AK80"/>
      <c r="AL80"/>
      <c r="AM80"/>
      <c r="AN80"/>
      <c r="AO80"/>
      <c r="AP80"/>
      <c r="AQ80"/>
      <c r="AR80" s="1"/>
      <c r="AS80" s="1"/>
      <c r="AT80" s="1"/>
      <c r="AU80" s="1"/>
      <c r="AV80" s="1"/>
      <c r="AW80" s="1"/>
      <c r="AX80" s="1"/>
    </row>
    <row r="81" spans="1:50" s="19" customFormat="1" ht="13.5" thickBot="1" x14ac:dyDescent="0.25">
      <c r="A81" s="153" t="s">
        <v>114</v>
      </c>
      <c r="B81" s="50" t="s">
        <v>111</v>
      </c>
      <c r="C81" s="27">
        <v>5</v>
      </c>
      <c r="D81" s="36"/>
      <c r="E81" s="32">
        <v>2</v>
      </c>
      <c r="F81" s="60">
        <v>0.18528013915316402</v>
      </c>
      <c r="G81" s="60">
        <v>0.70221172739049165</v>
      </c>
      <c r="H81" s="60">
        <v>0.21020432210031142</v>
      </c>
      <c r="I81" s="60">
        <v>0.79667438076018027</v>
      </c>
      <c r="J81" s="148">
        <v>588.46598303458268</v>
      </c>
      <c r="K81" s="148">
        <v>884.15452803652192</v>
      </c>
      <c r="L81" s="148">
        <v>-112.39270092286033</v>
      </c>
      <c r="M81" s="60">
        <v>0.16625457846466221</v>
      </c>
      <c r="N81" s="60">
        <v>0.63010485238106984</v>
      </c>
      <c r="O81" s="60">
        <v>0.22555265933658325</v>
      </c>
      <c r="P81" s="60">
        <v>0.85484457888565057</v>
      </c>
      <c r="Q81" s="59">
        <v>658.20456073917705</v>
      </c>
      <c r="R81" s="59">
        <v>892.96662042750586</v>
      </c>
      <c r="S81" s="60">
        <v>2.1356937210962643</v>
      </c>
      <c r="T81" s="60">
        <v>0.41052779305517084</v>
      </c>
      <c r="U81" s="60">
        <v>29.143139655979468</v>
      </c>
      <c r="V81" s="154">
        <f>IF(ISERR(Q81*($V$2/30)^2),"",(Q81*($V$2/30)^2))</f>
        <v>658.20456073917705</v>
      </c>
      <c r="W81" s="155">
        <f>IF(ISERR(((V81/453.59)*$V$2/375)*746),"",(((V81/453.59)*$V$2/375)*746))</f>
        <v>86.601662701810213</v>
      </c>
      <c r="X81" s="60">
        <v>32.496931229872636</v>
      </c>
      <c r="Y81" s="60">
        <v>128.85818122987263</v>
      </c>
      <c r="Z81" s="20" t="s">
        <v>113</v>
      </c>
      <c r="AA81" s="21" t="s">
        <v>113</v>
      </c>
      <c r="AB81" s="21"/>
      <c r="AC81" s="60">
        <f t="shared" si="1"/>
        <v>5.2203937637903937E-2</v>
      </c>
      <c r="AD81"/>
      <c r="AE81"/>
      <c r="AF81"/>
      <c r="AG81"/>
      <c r="AH81"/>
      <c r="AI81"/>
      <c r="AJ81"/>
      <c r="AK81"/>
      <c r="AL81"/>
      <c r="AM81"/>
      <c r="AN81"/>
      <c r="AO81"/>
      <c r="AP81"/>
      <c r="AQ81"/>
      <c r="AR81" s="1"/>
      <c r="AS81" s="1"/>
      <c r="AT81" s="1"/>
      <c r="AU81" s="1"/>
      <c r="AV81" s="1"/>
      <c r="AW81" s="1"/>
      <c r="AX81" s="1"/>
    </row>
    <row r="82" spans="1:50" s="1" customFormat="1" x14ac:dyDescent="0.2">
      <c r="A82" s="152" t="s">
        <v>114</v>
      </c>
      <c r="B82" s="28" t="s">
        <v>111</v>
      </c>
      <c r="C82" s="144">
        <v>-5</v>
      </c>
      <c r="D82" s="145">
        <v>27</v>
      </c>
      <c r="E82" s="146" t="s">
        <v>112</v>
      </c>
      <c r="F82" s="7">
        <v>0.12385238424594164</v>
      </c>
      <c r="G82" s="7">
        <v>0.46940053629211881</v>
      </c>
      <c r="H82" s="7">
        <v>-0.19449753137699427</v>
      </c>
      <c r="I82" s="7">
        <v>-0.73714564391880821</v>
      </c>
      <c r="J82" s="147">
        <v>366.39519080557454</v>
      </c>
      <c r="K82" s="147">
        <v>-822.98182011931942</v>
      </c>
      <c r="L82" s="147">
        <v>102.08256632540898</v>
      </c>
      <c r="M82" s="7">
        <v>0.1064295117220808</v>
      </c>
      <c r="N82" s="7">
        <v>0.40336784942668624</v>
      </c>
      <c r="O82" s="7">
        <v>-0.20455185608971799</v>
      </c>
      <c r="P82" s="7">
        <v>-0.77525153458003127</v>
      </c>
      <c r="Q82" s="147">
        <v>421.35615547939381</v>
      </c>
      <c r="R82" s="147">
        <v>-809.82410126247191</v>
      </c>
      <c r="S82" s="7">
        <v>2.156056915734387</v>
      </c>
      <c r="T82" s="7">
        <v>0.41444205158005437</v>
      </c>
      <c r="U82" s="147">
        <v>29.281743111839134</v>
      </c>
      <c r="V82" s="147">
        <f>IF(ISERR(AVERAGE(V83:V84)),"",AVERAGE(V83:V84))</f>
        <v>421.35615547939381</v>
      </c>
      <c r="W82" s="147">
        <f>IF(ISERR(AVERAGE(W83:W84)),"",AVERAGE(W83:W84))</f>
        <v>55.438910379440074</v>
      </c>
      <c r="X82" s="7">
        <v>32.487258202469903</v>
      </c>
      <c r="Y82" s="7">
        <v>128.8485082024699</v>
      </c>
      <c r="Z82" s="7" t="s">
        <v>113</v>
      </c>
      <c r="AA82" s="7" t="s">
        <v>113</v>
      </c>
      <c r="AB82" s="12"/>
      <c r="AC82" s="7">
        <f t="shared" si="1"/>
        <v>3.3418866680733371E-2</v>
      </c>
      <c r="AD82"/>
      <c r="AE82"/>
      <c r="AF82"/>
      <c r="AG82"/>
      <c r="AH82"/>
      <c r="AI82"/>
      <c r="AJ82"/>
      <c r="AK82"/>
      <c r="AL82"/>
      <c r="AM82"/>
      <c r="AN82"/>
      <c r="AO82"/>
      <c r="AP82"/>
      <c r="AQ82"/>
    </row>
    <row r="83" spans="1:50" s="19" customFormat="1" x14ac:dyDescent="0.2">
      <c r="A83" s="152" t="s">
        <v>114</v>
      </c>
      <c r="B83" s="49" t="s">
        <v>111</v>
      </c>
      <c r="C83" s="26">
        <v>-5</v>
      </c>
      <c r="D83" s="35"/>
      <c r="E83" s="31">
        <v>1</v>
      </c>
      <c r="F83" s="60">
        <v>0.12393204504574842</v>
      </c>
      <c r="G83" s="60">
        <v>0.46970245072338651</v>
      </c>
      <c r="H83" s="60">
        <v>-0.19582112829435547</v>
      </c>
      <c r="I83" s="60">
        <v>-0.74216207623560726</v>
      </c>
      <c r="J83" s="148">
        <v>366.39043269542219</v>
      </c>
      <c r="K83" s="148">
        <v>-826.10844220618606</v>
      </c>
      <c r="L83" s="148">
        <v>100.8935950502696</v>
      </c>
      <c r="M83" s="60">
        <v>0.10639351031606295</v>
      </c>
      <c r="N83" s="60">
        <v>0.40323140409787861</v>
      </c>
      <c r="O83" s="60">
        <v>-0.20587735921737885</v>
      </c>
      <c r="P83" s="60">
        <v>-0.78027519143386581</v>
      </c>
      <c r="Q83" s="59">
        <v>421.21362533163608</v>
      </c>
      <c r="R83" s="59">
        <v>-815.07178954845699</v>
      </c>
      <c r="S83" s="60">
        <v>2.1542914449142216</v>
      </c>
      <c r="T83" s="60">
        <v>0.4141026888557337</v>
      </c>
      <c r="U83" s="60">
        <v>29.269754543421517</v>
      </c>
      <c r="V83" s="154">
        <f>IF(ISERR(Q83*($V$2/30)^2),"",(Q83*($V$2/30)^2))</f>
        <v>421.21362533163608</v>
      </c>
      <c r="W83" s="155">
        <f>IF(ISERR(((V83/453.59)*$V$2/375)*746),"",(((V83/453.59)*$V$2/375)*746))</f>
        <v>55.420157322233827</v>
      </c>
      <c r="X83" s="60">
        <v>31.475070287095214</v>
      </c>
      <c r="Y83" s="60">
        <v>127.83632028709522</v>
      </c>
      <c r="Z83" s="18" t="s">
        <v>113</v>
      </c>
      <c r="AA83" s="17" t="s">
        <v>113</v>
      </c>
      <c r="AB83" s="17"/>
      <c r="AC83" s="60">
        <f t="shared" si="1"/>
        <v>3.3407562239243765E-2</v>
      </c>
      <c r="AD83"/>
      <c r="AE83"/>
      <c r="AF83"/>
      <c r="AG83"/>
      <c r="AH83"/>
      <c r="AI83"/>
      <c r="AJ83"/>
      <c r="AK83"/>
      <c r="AL83"/>
      <c r="AM83"/>
      <c r="AN83"/>
      <c r="AO83"/>
      <c r="AP83"/>
      <c r="AQ83"/>
      <c r="AR83" s="1"/>
      <c r="AS83" s="1"/>
      <c r="AT83" s="1"/>
      <c r="AU83" s="1"/>
      <c r="AV83" s="1"/>
      <c r="AW83" s="1"/>
      <c r="AX83" s="1"/>
    </row>
    <row r="84" spans="1:50" s="19" customFormat="1" ht="13.5" thickBot="1" x14ac:dyDescent="0.25">
      <c r="A84" s="153" t="s">
        <v>114</v>
      </c>
      <c r="B84" s="50" t="s">
        <v>111</v>
      </c>
      <c r="C84" s="27">
        <v>-5</v>
      </c>
      <c r="D84" s="36"/>
      <c r="E84" s="32">
        <v>2</v>
      </c>
      <c r="F84" s="60">
        <v>0.12377272344613485</v>
      </c>
      <c r="G84" s="60">
        <v>0.46909862186085111</v>
      </c>
      <c r="H84" s="60">
        <v>-0.19317393445963305</v>
      </c>
      <c r="I84" s="60">
        <v>-0.73212921160200928</v>
      </c>
      <c r="J84" s="148">
        <v>366.39994891572684</v>
      </c>
      <c r="K84" s="148">
        <v>-819.85519803245279</v>
      </c>
      <c r="L84" s="148">
        <v>103.27153760054836</v>
      </c>
      <c r="M84" s="60">
        <v>0.10646551312809865</v>
      </c>
      <c r="N84" s="60">
        <v>0.40350429475549393</v>
      </c>
      <c r="O84" s="60">
        <v>-0.20322635296205716</v>
      </c>
      <c r="P84" s="60">
        <v>-0.77022787772619661</v>
      </c>
      <c r="Q84" s="59">
        <v>421.49868562715159</v>
      </c>
      <c r="R84" s="59">
        <v>-804.57641297648672</v>
      </c>
      <c r="S84" s="60">
        <v>2.1578223865545523</v>
      </c>
      <c r="T84" s="60">
        <v>0.41478141430437504</v>
      </c>
      <c r="U84" s="60">
        <v>29.293731680256752</v>
      </c>
      <c r="V84" s="154">
        <f>IF(ISERR(Q84*($V$2/30)^2),"",(Q84*($V$2/30)^2))</f>
        <v>421.49868562715159</v>
      </c>
      <c r="W84" s="155">
        <f>IF(ISERR(((V84/453.59)*$V$2/375)*746),"",(((V84/453.59)*$V$2/375)*746))</f>
        <v>55.457663436646328</v>
      </c>
      <c r="X84" s="60">
        <v>33.499446117844592</v>
      </c>
      <c r="Y84" s="60">
        <v>129.86069611784458</v>
      </c>
      <c r="Z84" s="20" t="s">
        <v>113</v>
      </c>
      <c r="AA84" s="21" t="s">
        <v>113</v>
      </c>
      <c r="AB84" s="21"/>
      <c r="AC84" s="60">
        <f t="shared" si="1"/>
        <v>3.3430171122222976E-2</v>
      </c>
      <c r="AD84"/>
      <c r="AE84"/>
      <c r="AF84"/>
      <c r="AG84"/>
      <c r="AH84"/>
      <c r="AI84"/>
      <c r="AJ84"/>
      <c r="AK84"/>
      <c r="AL84"/>
      <c r="AM84"/>
      <c r="AN84"/>
      <c r="AO84"/>
      <c r="AP84"/>
      <c r="AQ84"/>
      <c r="AR84" s="1"/>
      <c r="AS84" s="1"/>
      <c r="AT84" s="1"/>
      <c r="AU84" s="1"/>
      <c r="AV84" s="1"/>
      <c r="AW84" s="1"/>
      <c r="AX84" s="1"/>
    </row>
    <row r="85" spans="1:50" s="1" customFormat="1" x14ac:dyDescent="0.2">
      <c r="A85" s="152" t="s">
        <v>114</v>
      </c>
      <c r="B85" s="28" t="s">
        <v>111</v>
      </c>
      <c r="C85" s="144">
        <v>5</v>
      </c>
      <c r="D85" s="145">
        <v>28</v>
      </c>
      <c r="E85" s="146" t="s">
        <v>112</v>
      </c>
      <c r="F85" s="7">
        <v>0.13995227043187286</v>
      </c>
      <c r="G85" s="7">
        <v>0.53041910493679811</v>
      </c>
      <c r="H85" s="7">
        <v>0.1764600307830691</v>
      </c>
      <c r="I85" s="7">
        <v>0.66878351666783198</v>
      </c>
      <c r="J85" s="147">
        <v>425.64638351240069</v>
      </c>
      <c r="K85" s="147">
        <v>752.13998820124311</v>
      </c>
      <c r="L85" s="147">
        <v>-98.736257573650789</v>
      </c>
      <c r="M85" s="7">
        <v>0.12404020474196088</v>
      </c>
      <c r="N85" s="7">
        <v>0.47011237597203176</v>
      </c>
      <c r="O85" s="7">
        <v>0.18798619116991067</v>
      </c>
      <c r="P85" s="7">
        <v>0.71246766453396138</v>
      </c>
      <c r="Q85" s="147">
        <v>491.0771735139524</v>
      </c>
      <c r="R85" s="147">
        <v>744.24036635070365</v>
      </c>
      <c r="S85" s="7">
        <v>2.1537714520814903</v>
      </c>
      <c r="T85" s="7">
        <v>0.41400273467788651</v>
      </c>
      <c r="U85" s="147">
        <v>29.266191542205739</v>
      </c>
      <c r="V85" s="147">
        <f>IF(ISERR(AVERAGE(V86:V87)),"",AVERAGE(V86:V87))</f>
        <v>491.0771735139524</v>
      </c>
      <c r="W85" s="147">
        <f>IF(ISERR(AVERAGE(W86:W87)),"",AVERAGE(W86:W87))</f>
        <v>64.612283593802076</v>
      </c>
      <c r="X85" s="7">
        <v>35.348339555479853</v>
      </c>
      <c r="Y85" s="7">
        <v>131.70958955547985</v>
      </c>
      <c r="Z85" s="7" t="s">
        <v>113</v>
      </c>
      <c r="AA85" s="7" t="s">
        <v>113</v>
      </c>
      <c r="AB85" s="12"/>
      <c r="AC85" s="7">
        <f t="shared" si="1"/>
        <v>3.8948624288975719E-2</v>
      </c>
      <c r="AD85"/>
      <c r="AE85"/>
      <c r="AF85"/>
      <c r="AG85"/>
      <c r="AH85"/>
      <c r="AI85"/>
      <c r="AJ85"/>
      <c r="AK85"/>
      <c r="AL85"/>
      <c r="AM85"/>
      <c r="AN85"/>
      <c r="AO85"/>
      <c r="AP85"/>
      <c r="AQ85"/>
    </row>
    <row r="86" spans="1:50" s="19" customFormat="1" x14ac:dyDescent="0.2">
      <c r="A86" s="152" t="s">
        <v>114</v>
      </c>
      <c r="B86" s="49" t="s">
        <v>111</v>
      </c>
      <c r="C86" s="26">
        <v>5</v>
      </c>
      <c r="D86" s="35"/>
      <c r="E86" s="31">
        <v>1</v>
      </c>
      <c r="F86" s="60">
        <v>0.13727565767283625</v>
      </c>
      <c r="G86" s="60">
        <v>0.52027474258004935</v>
      </c>
      <c r="H86" s="60">
        <v>0.17180546186958465</v>
      </c>
      <c r="I86" s="60">
        <v>0.65114270048572587</v>
      </c>
      <c r="J86" s="148">
        <v>414.51136683664271</v>
      </c>
      <c r="K86" s="148">
        <v>730.72376348315925</v>
      </c>
      <c r="L86" s="148">
        <v>-96.433853224259778</v>
      </c>
      <c r="M86" s="60">
        <v>0.1217794497133888</v>
      </c>
      <c r="N86" s="60">
        <v>0.4615441144137436</v>
      </c>
      <c r="O86" s="60">
        <v>0.1831160521233331</v>
      </c>
      <c r="P86" s="60">
        <v>0.6940098375474324</v>
      </c>
      <c r="Q86" s="59">
        <v>482.12680785026964</v>
      </c>
      <c r="R86" s="59">
        <v>724.95940722468083</v>
      </c>
      <c r="S86" s="60">
        <v>2.1475740884184438</v>
      </c>
      <c r="T86" s="60">
        <v>0.41281146366265642</v>
      </c>
      <c r="U86" s="60">
        <v>29.224085494399503</v>
      </c>
      <c r="V86" s="154">
        <f>IF(ISERR(Q86*($V$2/30)^2),"",(Q86*($V$2/30)^2))</f>
        <v>482.12680785026964</v>
      </c>
      <c r="W86" s="155">
        <f>IF(ISERR(((V86/453.59)*$V$2/375)*746),"",(((V86/453.59)*$V$2/375)*746))</f>
        <v>63.434661020975092</v>
      </c>
      <c r="X86" s="60">
        <v>35.677015457067967</v>
      </c>
      <c r="Y86" s="60">
        <v>132.03826545706798</v>
      </c>
      <c r="Z86" s="18" t="s">
        <v>113</v>
      </c>
      <c r="AA86" s="17" t="s">
        <v>113</v>
      </c>
      <c r="AB86" s="17"/>
      <c r="AC86" s="60">
        <f t="shared" si="1"/>
        <v>3.8238747210004087E-2</v>
      </c>
      <c r="AD86"/>
      <c r="AE86"/>
      <c r="AF86"/>
      <c r="AG86"/>
      <c r="AH86"/>
      <c r="AI86"/>
      <c r="AJ86"/>
      <c r="AK86"/>
      <c r="AL86"/>
      <c r="AM86"/>
      <c r="AN86"/>
      <c r="AO86"/>
      <c r="AP86"/>
      <c r="AQ86"/>
      <c r="AR86" s="1"/>
      <c r="AS86" s="1"/>
      <c r="AT86" s="1"/>
      <c r="AU86" s="1"/>
      <c r="AV86" s="1"/>
      <c r="AW86" s="1"/>
      <c r="AX86" s="1"/>
    </row>
    <row r="87" spans="1:50" s="19" customFormat="1" ht="13.5" thickBot="1" x14ac:dyDescent="0.25">
      <c r="A87" s="153" t="s">
        <v>114</v>
      </c>
      <c r="B87" s="50" t="s">
        <v>111</v>
      </c>
      <c r="C87" s="27">
        <v>5</v>
      </c>
      <c r="D87" s="36"/>
      <c r="E87" s="32">
        <v>2</v>
      </c>
      <c r="F87" s="60">
        <v>0.14262888319090944</v>
      </c>
      <c r="G87" s="60">
        <v>0.54056346729354676</v>
      </c>
      <c r="H87" s="60">
        <v>0.18111459969655358</v>
      </c>
      <c r="I87" s="60">
        <v>0.68642433284993809</v>
      </c>
      <c r="J87" s="148">
        <v>436.78140018815867</v>
      </c>
      <c r="K87" s="148">
        <v>773.55621291932698</v>
      </c>
      <c r="L87" s="148">
        <v>-101.03866192304179</v>
      </c>
      <c r="M87" s="60">
        <v>0.12630095977053296</v>
      </c>
      <c r="N87" s="60">
        <v>0.47868063753031992</v>
      </c>
      <c r="O87" s="60">
        <v>0.19285633021648824</v>
      </c>
      <c r="P87" s="60">
        <v>0.73092549152049047</v>
      </c>
      <c r="Q87" s="59">
        <v>500.02753917763522</v>
      </c>
      <c r="R87" s="59">
        <v>763.52132547672647</v>
      </c>
      <c r="S87" s="60">
        <v>2.1599688157445374</v>
      </c>
      <c r="T87" s="60">
        <v>0.4151940056931166</v>
      </c>
      <c r="U87" s="60">
        <v>29.308297590011971</v>
      </c>
      <c r="V87" s="154">
        <f>IF(ISERR(Q87*($V$2/30)^2),"",(Q87*($V$2/30)^2))</f>
        <v>500.02753917763522</v>
      </c>
      <c r="W87" s="155">
        <f>IF(ISERR(((V87/453.59)*$V$2/375)*746),"",(((V87/453.59)*$V$2/375)*746))</f>
        <v>65.789906166629052</v>
      </c>
      <c r="X87" s="60">
        <v>35.019663653891733</v>
      </c>
      <c r="Y87" s="60">
        <v>131.38091365389172</v>
      </c>
      <c r="Z87" s="20" t="s">
        <v>113</v>
      </c>
      <c r="AA87" s="21" t="s">
        <v>113</v>
      </c>
      <c r="AB87" s="21"/>
      <c r="AC87" s="60">
        <f t="shared" si="1"/>
        <v>3.9658501367947352E-2</v>
      </c>
      <c r="AD87"/>
      <c r="AE87"/>
      <c r="AF87"/>
      <c r="AG87"/>
      <c r="AH87"/>
      <c r="AI87"/>
      <c r="AJ87"/>
      <c r="AK87"/>
      <c r="AL87"/>
      <c r="AM87"/>
      <c r="AN87"/>
      <c r="AO87"/>
      <c r="AP87"/>
      <c r="AQ87"/>
      <c r="AR87" s="1"/>
      <c r="AS87" s="1"/>
      <c r="AT87" s="1"/>
      <c r="AU87" s="1"/>
      <c r="AV87" s="1"/>
      <c r="AW87" s="1"/>
      <c r="AX87" s="1"/>
    </row>
    <row r="88" spans="1:50" s="1" customFormat="1" x14ac:dyDescent="0.2">
      <c r="A88" s="152" t="s">
        <v>123</v>
      </c>
      <c r="B88" s="28" t="s">
        <v>111</v>
      </c>
      <c r="C88" s="144">
        <v>0</v>
      </c>
      <c r="D88" s="145">
        <v>29</v>
      </c>
      <c r="E88" s="146" t="s">
        <v>112</v>
      </c>
      <c r="F88" s="7">
        <v>0.11140461535854287</v>
      </c>
      <c r="G88" s="7">
        <v>0.4222234922088775</v>
      </c>
      <c r="H88" s="7">
        <v>-1.3202451131680183E-2</v>
      </c>
      <c r="I88" s="7">
        <v>-5.0037289789067893E-2</v>
      </c>
      <c r="J88" s="147">
        <v>322.63735039617927</v>
      </c>
      <c r="K88" s="147">
        <v>-52.467529063940859</v>
      </c>
      <c r="L88" s="147">
        <v>3.2392878934488798</v>
      </c>
      <c r="M88" s="7">
        <v>0.11140505214699958</v>
      </c>
      <c r="N88" s="7">
        <v>0.42222514763712837</v>
      </c>
      <c r="O88" s="7">
        <v>-1.3198764911672402E-2</v>
      </c>
      <c r="P88" s="7">
        <v>-5.0023319015238411E-2</v>
      </c>
      <c r="Q88" s="147">
        <v>441.05440036423931</v>
      </c>
      <c r="R88" s="147">
        <v>-52.254123412508264</v>
      </c>
      <c r="S88" s="7">
        <v>2.1720928434940108</v>
      </c>
      <c r="T88" s="7">
        <v>0.41752451324940421</v>
      </c>
      <c r="U88" s="147">
        <v>29.3900687166281</v>
      </c>
      <c r="V88" s="147">
        <f>IF(ISERR(AVERAGE(V89:V90)),"",AVERAGE(V89:V90))</f>
        <v>441.05440036423931</v>
      </c>
      <c r="W88" s="147">
        <f>IF(ISERR(AVERAGE(W89:W90)),"",AVERAGE(W89:W90))</f>
        <v>58.030658995431565</v>
      </c>
      <c r="X88" s="7">
        <v>3.0562711804597731</v>
      </c>
      <c r="Y88" s="7">
        <v>99.417521180459772</v>
      </c>
      <c r="Z88" s="7" t="s">
        <v>113</v>
      </c>
      <c r="AA88" s="7" t="s">
        <v>113</v>
      </c>
      <c r="AB88" s="12"/>
      <c r="AC88" s="7">
        <f t="shared" si="1"/>
        <v>3.4981186374157869E-2</v>
      </c>
      <c r="AD88"/>
      <c r="AE88"/>
      <c r="AF88"/>
      <c r="AG88"/>
      <c r="AH88"/>
      <c r="AI88"/>
      <c r="AJ88"/>
      <c r="AK88"/>
      <c r="AL88"/>
      <c r="AM88"/>
      <c r="AN88"/>
      <c r="AO88"/>
      <c r="AP88"/>
      <c r="AQ88"/>
    </row>
    <row r="89" spans="1:50" s="19" customFormat="1" x14ac:dyDescent="0.2">
      <c r="A89" s="152" t="s">
        <v>114</v>
      </c>
      <c r="B89" s="49" t="s">
        <v>111</v>
      </c>
      <c r="C89" s="26">
        <v>1.8958320000000001E-3</v>
      </c>
      <c r="D89" s="35"/>
      <c r="E89" s="31">
        <v>1</v>
      </c>
      <c r="F89" s="60">
        <v>0.11133775719352068</v>
      </c>
      <c r="G89" s="60">
        <v>0.42197009976344341</v>
      </c>
      <c r="H89" s="60">
        <v>-1.1317452350688272E-2</v>
      </c>
      <c r="I89" s="60">
        <v>-4.2893144409108554E-2</v>
      </c>
      <c r="J89" s="148">
        <v>325.61826336241631</v>
      </c>
      <c r="K89" s="148">
        <v>-45.070818783400398</v>
      </c>
      <c r="L89" s="148">
        <v>2.3876486396829009</v>
      </c>
      <c r="M89" s="60">
        <v>0.1113381316102121</v>
      </c>
      <c r="N89" s="60">
        <v>0.42197151880270384</v>
      </c>
      <c r="O89" s="60">
        <v>-1.131376834394948E-2</v>
      </c>
      <c r="P89" s="60">
        <v>-4.2879182023568531E-2</v>
      </c>
      <c r="Q89" s="59">
        <v>440.78946087849761</v>
      </c>
      <c r="R89" s="59">
        <v>-44.791391562891022</v>
      </c>
      <c r="S89" s="60">
        <v>2.1938418234370629</v>
      </c>
      <c r="T89" s="60">
        <v>0.4217051505051243</v>
      </c>
      <c r="U89" s="60">
        <v>29.537212527529817</v>
      </c>
      <c r="V89" s="154">
        <f>IF(ISERR(Q89*($V$2/30)^2),"",(Q89*($V$2/30)^2))</f>
        <v>440.78946087849761</v>
      </c>
      <c r="W89" s="155">
        <f>IF(ISERR(((V89/453.59)*$V$2/375)*746),"",(((V89/453.59)*$V$2/375)*746))</f>
        <v>57.995800227581597</v>
      </c>
      <c r="X89" s="60">
        <v>-0.751325328566673</v>
      </c>
      <c r="Y89" s="60">
        <v>95.609924671433319</v>
      </c>
      <c r="Z89" s="18" t="s">
        <v>113</v>
      </c>
      <c r="AA89" s="17" t="s">
        <v>113</v>
      </c>
      <c r="AB89" s="17"/>
      <c r="AC89" s="60">
        <f t="shared" si="1"/>
        <v>3.4960173325606601E-2</v>
      </c>
      <c r="AD89"/>
      <c r="AE89"/>
      <c r="AF89"/>
      <c r="AG89"/>
      <c r="AH89"/>
      <c r="AI89"/>
      <c r="AJ89"/>
      <c r="AK89"/>
      <c r="AL89"/>
      <c r="AM89"/>
      <c r="AN89"/>
      <c r="AO89"/>
      <c r="AP89"/>
      <c r="AQ89"/>
      <c r="AR89" s="1"/>
      <c r="AS89" s="1"/>
      <c r="AT89" s="1"/>
      <c r="AU89" s="1"/>
      <c r="AV89" s="1"/>
      <c r="AW89" s="1"/>
      <c r="AX89" s="1"/>
    </row>
    <row r="90" spans="1:50" s="19" customFormat="1" ht="13.5" thickBot="1" x14ac:dyDescent="0.25">
      <c r="A90" s="153" t="s">
        <v>114</v>
      </c>
      <c r="B90" s="50" t="s">
        <v>111</v>
      </c>
      <c r="C90" s="27">
        <v>1.8958320000000001E-3</v>
      </c>
      <c r="D90" s="36"/>
      <c r="E90" s="32">
        <v>2</v>
      </c>
      <c r="F90" s="60">
        <v>0.11147147352356507</v>
      </c>
      <c r="G90" s="60">
        <v>0.4224768846543116</v>
      </c>
      <c r="H90" s="60">
        <v>-1.5087449912672093E-2</v>
      </c>
      <c r="I90" s="60">
        <v>-5.7181435169027232E-2</v>
      </c>
      <c r="J90" s="148">
        <v>319.65643742994229</v>
      </c>
      <c r="K90" s="148">
        <v>-59.864239344481319</v>
      </c>
      <c r="L90" s="148">
        <v>4.0909271472148587</v>
      </c>
      <c r="M90" s="60">
        <v>0.11147197268378706</v>
      </c>
      <c r="N90" s="60">
        <v>0.42247877647155296</v>
      </c>
      <c r="O90" s="60">
        <v>-1.5083761479395327E-2</v>
      </c>
      <c r="P90" s="60">
        <v>-5.7167456006908292E-2</v>
      </c>
      <c r="Q90" s="59">
        <v>441.31933984998108</v>
      </c>
      <c r="R90" s="59">
        <v>-59.716855262125499</v>
      </c>
      <c r="S90" s="60">
        <v>2.1503438635509582</v>
      </c>
      <c r="T90" s="60">
        <v>0.41334387599368416</v>
      </c>
      <c r="U90" s="60">
        <v>29.242924905726383</v>
      </c>
      <c r="V90" s="154">
        <f>IF(ISERR(Q90*($V$2/30)^2),"",(Q90*($V$2/30)^2))</f>
        <v>441.31933984998108</v>
      </c>
      <c r="W90" s="155">
        <f>IF(ISERR(((V90/453.59)*$V$2/375)*746),"",(((V90/453.59)*$V$2/375)*746))</f>
        <v>58.065517763281534</v>
      </c>
      <c r="X90" s="60">
        <v>6.8638676894862192</v>
      </c>
      <c r="Y90" s="60">
        <v>103.22511768948623</v>
      </c>
      <c r="Z90" s="20" t="s">
        <v>113</v>
      </c>
      <c r="AA90" s="21" t="s">
        <v>113</v>
      </c>
      <c r="AB90" s="21"/>
      <c r="AC90" s="60">
        <f t="shared" si="1"/>
        <v>3.5002199422709136E-2</v>
      </c>
      <c r="AD90"/>
      <c r="AE90"/>
      <c r="AF90"/>
      <c r="AG90"/>
      <c r="AH90"/>
      <c r="AI90"/>
      <c r="AJ90"/>
      <c r="AK90"/>
      <c r="AL90"/>
      <c r="AM90"/>
      <c r="AN90"/>
      <c r="AO90"/>
      <c r="AP90"/>
      <c r="AQ90"/>
      <c r="AR90" s="1"/>
      <c r="AS90" s="1"/>
      <c r="AT90" s="1"/>
      <c r="AU90" s="1"/>
      <c r="AV90" s="1"/>
      <c r="AW90" s="1"/>
      <c r="AX90" s="1"/>
    </row>
    <row r="91" spans="1:50" s="1" customFormat="1" x14ac:dyDescent="0.2">
      <c r="A91" s="152" t="s">
        <v>114</v>
      </c>
      <c r="B91" s="28" t="s">
        <v>111</v>
      </c>
      <c r="C91" s="144">
        <v>5</v>
      </c>
      <c r="D91" s="145">
        <v>30</v>
      </c>
      <c r="E91" s="146" t="s">
        <v>112</v>
      </c>
      <c r="F91" s="7">
        <v>0.12609972986824319</v>
      </c>
      <c r="G91" s="7">
        <v>0.47791797620064169</v>
      </c>
      <c r="H91" s="7">
        <v>0.1571628607552214</v>
      </c>
      <c r="I91" s="7">
        <v>0.59564724226228916</v>
      </c>
      <c r="J91" s="147">
        <v>373.27125405228475</v>
      </c>
      <c r="K91" s="147">
        <v>675.09207640098725</v>
      </c>
      <c r="L91" s="147">
        <v>-94.812108956892047</v>
      </c>
      <c r="M91" s="7">
        <v>0.11192223646407712</v>
      </c>
      <c r="N91" s="7">
        <v>0.42418527619885227</v>
      </c>
      <c r="O91" s="7">
        <v>0.1675551242382286</v>
      </c>
      <c r="P91" s="7">
        <v>0.63503392086288635</v>
      </c>
      <c r="Q91" s="147">
        <v>443.10194142678858</v>
      </c>
      <c r="R91" s="147">
        <v>663.35344245730312</v>
      </c>
      <c r="S91" s="7">
        <v>2.1476359324146146</v>
      </c>
      <c r="T91" s="7">
        <v>0.41282335145303151</v>
      </c>
      <c r="U91" s="147">
        <v>29.224478123358061</v>
      </c>
      <c r="V91" s="147">
        <f>IF(ISERR(AVERAGE(V92:V93)),"",AVERAGE(V92:V93))</f>
        <v>443.10194142678858</v>
      </c>
      <c r="W91" s="147">
        <f>IF(ISERR(AVERAGE(W92:W93)),"",AVERAGE(W92:W93))</f>
        <v>58.300059226064818</v>
      </c>
      <c r="X91" s="7">
        <v>40.337172908642948</v>
      </c>
      <c r="Y91" s="7">
        <v>136.69842290864295</v>
      </c>
      <c r="Z91" s="7" t="s">
        <v>113</v>
      </c>
      <c r="AA91" s="7" t="s">
        <v>113</v>
      </c>
      <c r="AB91" s="12"/>
      <c r="AC91" s="7">
        <f t="shared" si="1"/>
        <v>3.5143582249720216E-2</v>
      </c>
      <c r="AD91"/>
      <c r="AE91"/>
      <c r="AF91"/>
      <c r="AG91"/>
      <c r="AH91"/>
      <c r="AI91"/>
      <c r="AJ91"/>
      <c r="AK91"/>
      <c r="AL91"/>
      <c r="AM91"/>
      <c r="AN91"/>
      <c r="AO91"/>
      <c r="AP91"/>
      <c r="AQ91"/>
    </row>
    <row r="92" spans="1:50" s="19" customFormat="1" x14ac:dyDescent="0.2">
      <c r="A92" s="152" t="s">
        <v>114</v>
      </c>
      <c r="B92" s="49" t="s">
        <v>111</v>
      </c>
      <c r="C92" s="26">
        <v>5</v>
      </c>
      <c r="D92" s="35"/>
      <c r="E92" s="31">
        <v>1</v>
      </c>
      <c r="F92" s="60">
        <v>0.12703956785502685</v>
      </c>
      <c r="G92" s="60">
        <v>0.48147996217055178</v>
      </c>
      <c r="H92" s="60">
        <v>0.16033185798264976</v>
      </c>
      <c r="I92" s="60">
        <v>0.60765774175424259</v>
      </c>
      <c r="J92" s="148">
        <v>377.77735770597826</v>
      </c>
      <c r="K92" s="148">
        <v>689.00895442292574</v>
      </c>
      <c r="L92" s="148">
        <v>-95.418184312743648</v>
      </c>
      <c r="M92" s="60">
        <v>0.11258230177645442</v>
      </c>
      <c r="N92" s="60">
        <v>0.42668692373276229</v>
      </c>
      <c r="O92" s="60">
        <v>0.17079397475226077</v>
      </c>
      <c r="P92" s="60">
        <v>0.64730916431106833</v>
      </c>
      <c r="Q92" s="59">
        <v>445.71515065690204</v>
      </c>
      <c r="R92" s="59">
        <v>676.17610394172971</v>
      </c>
      <c r="S92" s="60">
        <v>2.1535979674483694</v>
      </c>
      <c r="T92" s="60">
        <v>0.41396938707618658</v>
      </c>
      <c r="U92" s="60">
        <v>29.265043122174749</v>
      </c>
      <c r="V92" s="154">
        <f>IF(ISERR(Q92*($V$2/30)^2),"",(Q92*($V$2/30)^2))</f>
        <v>445.71515065690204</v>
      </c>
      <c r="W92" s="155">
        <f>IF(ISERR(((V92/453.59)*$V$2/375)*746),"",(((V92/453.59)*$V$2/375)*746))</f>
        <v>58.643885868744711</v>
      </c>
      <c r="X92" s="60">
        <v>39.301973179742397</v>
      </c>
      <c r="Y92" s="60">
        <v>135.6632231797424</v>
      </c>
      <c r="Z92" s="18" t="s">
        <v>113</v>
      </c>
      <c r="AA92" s="17" t="s">
        <v>113</v>
      </c>
      <c r="AB92" s="17"/>
      <c r="AC92" s="60">
        <f t="shared" si="1"/>
        <v>3.5350842757806693E-2</v>
      </c>
      <c r="AD92"/>
      <c r="AE92"/>
      <c r="AF92"/>
      <c r="AG92"/>
      <c r="AH92"/>
      <c r="AI92"/>
      <c r="AJ92"/>
      <c r="AK92"/>
      <c r="AL92"/>
      <c r="AM92"/>
      <c r="AN92"/>
      <c r="AO92"/>
      <c r="AP92"/>
      <c r="AQ92"/>
      <c r="AR92" s="1"/>
      <c r="AS92" s="1"/>
      <c r="AT92" s="1"/>
      <c r="AU92" s="1"/>
      <c r="AV92" s="1"/>
      <c r="AW92" s="1"/>
      <c r="AX92" s="1"/>
    </row>
    <row r="93" spans="1:50" s="19" customFormat="1" ht="13.5" thickBot="1" x14ac:dyDescent="0.25">
      <c r="A93" s="153" t="s">
        <v>114</v>
      </c>
      <c r="B93" s="50" t="s">
        <v>111</v>
      </c>
      <c r="C93" s="27">
        <v>5</v>
      </c>
      <c r="D93" s="36"/>
      <c r="E93" s="32">
        <v>2</v>
      </c>
      <c r="F93" s="60">
        <v>0.12515989188145954</v>
      </c>
      <c r="G93" s="60">
        <v>0.47435599023073166</v>
      </c>
      <c r="H93" s="60">
        <v>0.15399386352779304</v>
      </c>
      <c r="I93" s="60">
        <v>0.58363674277033561</v>
      </c>
      <c r="J93" s="148">
        <v>368.76515039859123</v>
      </c>
      <c r="K93" s="148">
        <v>661.17519837904877</v>
      </c>
      <c r="L93" s="148">
        <v>-94.20603360104046</v>
      </c>
      <c r="M93" s="60">
        <v>0.1112621711516998</v>
      </c>
      <c r="N93" s="60">
        <v>0.42168362866494224</v>
      </c>
      <c r="O93" s="60">
        <v>0.16431627372419644</v>
      </c>
      <c r="P93" s="60">
        <v>0.62275867741470448</v>
      </c>
      <c r="Q93" s="59">
        <v>440.48873219667507</v>
      </c>
      <c r="R93" s="59">
        <v>650.53078097287653</v>
      </c>
      <c r="S93" s="60">
        <v>2.1416738973808598</v>
      </c>
      <c r="T93" s="60">
        <v>0.41167731582987638</v>
      </c>
      <c r="U93" s="60">
        <v>29.18391312454137</v>
      </c>
      <c r="V93" s="154">
        <f>IF(ISERR(Q93*($V$2/30)^2),"",(Q93*($V$2/30)^2))</f>
        <v>440.48873219667507</v>
      </c>
      <c r="W93" s="155">
        <f>IF(ISERR(((V93/453.59)*$V$2/375)*746),"",(((V93/453.59)*$V$2/375)*746))</f>
        <v>57.956232583384931</v>
      </c>
      <c r="X93" s="60">
        <v>41.372372637543499</v>
      </c>
      <c r="Y93" s="60">
        <v>137.7336226375435</v>
      </c>
      <c r="Z93" s="20" t="s">
        <v>113</v>
      </c>
      <c r="AA93" s="21" t="s">
        <v>113</v>
      </c>
      <c r="AB93" s="21"/>
      <c r="AC93" s="60">
        <f t="shared" si="1"/>
        <v>3.493632174163374E-2</v>
      </c>
      <c r="AD93"/>
      <c r="AE93"/>
      <c r="AF93"/>
      <c r="AG93"/>
      <c r="AH93"/>
      <c r="AI93"/>
      <c r="AJ93"/>
      <c r="AK93"/>
      <c r="AL93"/>
      <c r="AM93"/>
      <c r="AN93"/>
      <c r="AO93"/>
      <c r="AP93"/>
      <c r="AQ93"/>
      <c r="AR93" s="1"/>
      <c r="AS93" s="1"/>
      <c r="AT93" s="1"/>
      <c r="AU93" s="1"/>
      <c r="AV93" s="1"/>
      <c r="AW93" s="1"/>
      <c r="AX93" s="1"/>
    </row>
    <row r="94" spans="1:50" s="1" customFormat="1" x14ac:dyDescent="0.2">
      <c r="A94" s="152" t="s">
        <v>114</v>
      </c>
      <c r="B94" s="28" t="s">
        <v>111</v>
      </c>
      <c r="C94" s="144">
        <v>-5</v>
      </c>
      <c r="D94" s="145">
        <v>31</v>
      </c>
      <c r="E94" s="146" t="s">
        <v>112</v>
      </c>
      <c r="F94" s="7">
        <v>0.13538813684794737</v>
      </c>
      <c r="G94" s="7">
        <v>0.5131210386537205</v>
      </c>
      <c r="H94" s="7">
        <v>-0.19997571156416863</v>
      </c>
      <c r="I94" s="7">
        <v>-0.75790794682819906</v>
      </c>
      <c r="J94" s="147">
        <v>408.62721588793409</v>
      </c>
      <c r="K94" s="147">
        <v>-840.69933970591012</v>
      </c>
      <c r="L94" s="147">
        <v>100.43165043185587</v>
      </c>
      <c r="M94" s="7">
        <v>0.11744391243957827</v>
      </c>
      <c r="N94" s="7">
        <v>0.4451124281460016</v>
      </c>
      <c r="O94" s="7">
        <v>-0.21101459723355337</v>
      </c>
      <c r="P94" s="7">
        <v>-0.79974532351516725</v>
      </c>
      <c r="Q94" s="147">
        <v>464.96234577511939</v>
      </c>
      <c r="R94" s="147">
        <v>-835.41019780809779</v>
      </c>
      <c r="S94" s="7">
        <v>2.1533209078295696</v>
      </c>
      <c r="T94" s="7">
        <v>0.41391613006057282</v>
      </c>
      <c r="U94" s="147">
        <v>29.263132371614759</v>
      </c>
      <c r="V94" s="147">
        <f>IF(ISERR(AVERAGE(V95:V96)),"",AVERAGE(V95:V96))</f>
        <v>464.96234577511939</v>
      </c>
      <c r="W94" s="147">
        <f>IF(ISERR(AVERAGE(W95:W96)),"",AVERAGE(W95:W96))</f>
        <v>61.176288709757983</v>
      </c>
      <c r="X94" s="7">
        <v>29.749081842189785</v>
      </c>
      <c r="Y94" s="7">
        <v>126.11033184218979</v>
      </c>
      <c r="Z94" s="7" t="s">
        <v>113</v>
      </c>
      <c r="AA94" s="7" t="s">
        <v>113</v>
      </c>
      <c r="AB94" s="12"/>
      <c r="AC94" s="7">
        <f t="shared" si="1"/>
        <v>3.6877388506027578E-2</v>
      </c>
      <c r="AD94"/>
      <c r="AE94"/>
      <c r="AF94"/>
      <c r="AG94"/>
      <c r="AH94"/>
      <c r="AI94"/>
      <c r="AJ94"/>
      <c r="AK94"/>
      <c r="AL94"/>
      <c r="AM94"/>
      <c r="AN94"/>
      <c r="AO94"/>
      <c r="AP94"/>
      <c r="AQ94"/>
    </row>
    <row r="95" spans="1:50" s="1" customFormat="1" x14ac:dyDescent="0.2">
      <c r="A95" s="152" t="s">
        <v>114</v>
      </c>
      <c r="B95" s="49" t="s">
        <v>111</v>
      </c>
      <c r="C95" s="26">
        <v>-5</v>
      </c>
      <c r="D95" s="35"/>
      <c r="E95" s="31">
        <v>1</v>
      </c>
      <c r="F95" s="60">
        <v>0.1347884600859735</v>
      </c>
      <c r="G95" s="60">
        <v>0.51084826372583958</v>
      </c>
      <c r="H95" s="60">
        <v>-0.19999305339949444</v>
      </c>
      <c r="I95" s="60">
        <v>-0.75797367238408397</v>
      </c>
      <c r="J95" s="148">
        <v>407.5423666961463</v>
      </c>
      <c r="K95" s="148">
        <v>-842.79890880193</v>
      </c>
      <c r="L95" s="148">
        <v>100.41084505285278</v>
      </c>
      <c r="M95" s="60">
        <v>0.11684500618819266</v>
      </c>
      <c r="N95" s="60">
        <v>0.44284257345325018</v>
      </c>
      <c r="O95" s="60">
        <v>-0.21097960780436179</v>
      </c>
      <c r="P95" s="60">
        <v>-0.79961271357853114</v>
      </c>
      <c r="Q95" s="59">
        <v>462.59126625503865</v>
      </c>
      <c r="R95" s="59">
        <v>-835.271674092936</v>
      </c>
      <c r="S95" s="60">
        <v>2.1593020058831924</v>
      </c>
      <c r="T95" s="60">
        <v>0.41506583001976921</v>
      </c>
      <c r="U95" s="60">
        <v>29.303773318587169</v>
      </c>
      <c r="V95" s="154">
        <f>IF(ISERR(Q95*($V$2/30)^2),"",(Q95*($V$2/30)^2))</f>
        <v>462.59126625503865</v>
      </c>
      <c r="W95" s="155">
        <f>IF(ISERR(((V95/453.59)*$V$2/375)*746),"",(((V95/453.59)*$V$2/375)*746))</f>
        <v>60.864319694218807</v>
      </c>
      <c r="X95" s="60">
        <v>29.596282763281621</v>
      </c>
      <c r="Y95" s="60">
        <v>125.95753276328163</v>
      </c>
      <c r="Z95" s="18" t="s">
        <v>113</v>
      </c>
      <c r="AA95" s="17" t="s">
        <v>113</v>
      </c>
      <c r="AB95" s="17"/>
      <c r="AC95" s="60">
        <f t="shared" si="1"/>
        <v>3.6689331943092492E-2</v>
      </c>
      <c r="AD95"/>
      <c r="AE95"/>
      <c r="AF95"/>
      <c r="AG95"/>
      <c r="AH95"/>
      <c r="AI95"/>
      <c r="AJ95"/>
      <c r="AK95"/>
      <c r="AL95"/>
      <c r="AM95"/>
      <c r="AN95"/>
      <c r="AO95"/>
      <c r="AP95"/>
      <c r="AQ95"/>
      <c r="AR95" s="23"/>
    </row>
    <row r="96" spans="1:50" s="1" customFormat="1" ht="13.5" thickBot="1" x14ac:dyDescent="0.25">
      <c r="A96" s="153" t="s">
        <v>114</v>
      </c>
      <c r="B96" s="50" t="s">
        <v>111</v>
      </c>
      <c r="C96" s="27">
        <v>-5</v>
      </c>
      <c r="D96" s="36"/>
      <c r="E96" s="32">
        <v>2</v>
      </c>
      <c r="F96" s="60">
        <v>0.13598781360992121</v>
      </c>
      <c r="G96" s="60">
        <v>0.51539381358160141</v>
      </c>
      <c r="H96" s="60">
        <v>-0.19995836972884282</v>
      </c>
      <c r="I96" s="60">
        <v>-0.75784222127231426</v>
      </c>
      <c r="J96" s="148">
        <v>409.71206507972187</v>
      </c>
      <c r="K96" s="148">
        <v>-838.59977060989024</v>
      </c>
      <c r="L96" s="148">
        <v>100.45245581085895</v>
      </c>
      <c r="M96" s="60">
        <v>0.11804281869096388</v>
      </c>
      <c r="N96" s="60">
        <v>0.44738228283875309</v>
      </c>
      <c r="O96" s="60">
        <v>-0.21104958666274498</v>
      </c>
      <c r="P96" s="60">
        <v>-0.79987793345180347</v>
      </c>
      <c r="Q96" s="59">
        <v>467.33342529520007</v>
      </c>
      <c r="R96" s="59">
        <v>-835.54872152325947</v>
      </c>
      <c r="S96" s="60">
        <v>2.1473398097759469</v>
      </c>
      <c r="T96" s="60">
        <v>0.41276643010137642</v>
      </c>
      <c r="U96" s="60">
        <v>29.22249142464235</v>
      </c>
      <c r="V96" s="154">
        <f>IF(ISERR(Q96*($V$2/30)^2),"",(Q96*($V$2/30)^2))</f>
        <v>467.33342529520007</v>
      </c>
      <c r="W96" s="155">
        <f>IF(ISERR(((V96/453.59)*$V$2/375)*746),"",(((V96/453.59)*$V$2/375)*746))</f>
        <v>61.488257725297167</v>
      </c>
      <c r="X96" s="60">
        <v>29.901880921097948</v>
      </c>
      <c r="Y96" s="60">
        <v>126.26313092109794</v>
      </c>
      <c r="Z96" s="20" t="s">
        <v>113</v>
      </c>
      <c r="AA96" s="21" t="s">
        <v>113</v>
      </c>
      <c r="AB96" s="21"/>
      <c r="AC96" s="60">
        <f t="shared" si="1"/>
        <v>3.7065445068962657E-2</v>
      </c>
      <c r="AD96"/>
      <c r="AE96"/>
      <c r="AF96"/>
      <c r="AG96"/>
      <c r="AH96"/>
      <c r="AI96"/>
      <c r="AJ96"/>
      <c r="AK96"/>
      <c r="AL96"/>
      <c r="AM96"/>
      <c r="AN96"/>
      <c r="AO96"/>
      <c r="AP96"/>
      <c r="AQ96"/>
      <c r="AR96" s="23"/>
    </row>
    <row r="97" spans="1:43" s="1" customFormat="1" x14ac:dyDescent="0.2">
      <c r="A97" s="152" t="s">
        <v>124</v>
      </c>
      <c r="B97" s="28" t="s">
        <v>111</v>
      </c>
      <c r="C97" s="144">
        <v>0</v>
      </c>
      <c r="D97" s="145">
        <v>32</v>
      </c>
      <c r="E97" s="146" t="s">
        <v>112</v>
      </c>
      <c r="F97" s="7">
        <v>0.10502952855301199</v>
      </c>
      <c r="G97" s="7">
        <v>0.39806191321591544</v>
      </c>
      <c r="H97" s="7">
        <v>-1.4237539609544603E-2</v>
      </c>
      <c r="I97" s="7">
        <v>-5.3960275120174039E-2</v>
      </c>
      <c r="J97" s="147">
        <v>297.81022195800585</v>
      </c>
      <c r="K97" s="147">
        <v>-58.988557842058562</v>
      </c>
      <c r="L97" s="147">
        <v>6.0070075599010604</v>
      </c>
      <c r="M97" s="7">
        <v>0.10502929298914887</v>
      </c>
      <c r="N97" s="7">
        <v>0.39806102042887426</v>
      </c>
      <c r="O97" s="7">
        <v>-1.4239277242923341E-2</v>
      </c>
      <c r="P97" s="7">
        <v>-5.3966860750679468E-2</v>
      </c>
      <c r="Q97" s="147">
        <v>415.8126669056694</v>
      </c>
      <c r="R97" s="147">
        <v>-56.373528533614689</v>
      </c>
      <c r="S97" s="7">
        <v>2.1646277626135122</v>
      </c>
      <c r="T97" s="7">
        <v>0.41608955881348625</v>
      </c>
      <c r="U97" s="147">
        <v>29.339884677414666</v>
      </c>
      <c r="V97" s="147">
        <f>IF(ISERR(AVERAGE(V98:V99)),"",AVERAGE(V98:V99))</f>
        <v>415.8126669056694</v>
      </c>
      <c r="W97" s="147">
        <f>IF(ISERR(AVERAGE(W98:W99)),"",AVERAGE(W98:W99))</f>
        <v>54.709539365793674</v>
      </c>
      <c r="X97" s="7">
        <v>24.362509382173187</v>
      </c>
      <c r="Y97" s="7">
        <v>120.72375938217318</v>
      </c>
      <c r="Z97" s="7" t="s">
        <v>113</v>
      </c>
      <c r="AA97" s="7" t="s">
        <v>113</v>
      </c>
      <c r="AB97" s="12"/>
      <c r="AC97" s="7">
        <f t="shared" si="1"/>
        <v>3.2979197998592745E-2</v>
      </c>
      <c r="AD97"/>
      <c r="AE97"/>
      <c r="AF97"/>
      <c r="AG97"/>
      <c r="AH97"/>
      <c r="AI97"/>
      <c r="AJ97"/>
      <c r="AK97"/>
      <c r="AL97"/>
      <c r="AM97"/>
      <c r="AN97"/>
      <c r="AO97"/>
      <c r="AP97"/>
      <c r="AQ97"/>
    </row>
    <row r="98" spans="1:43" s="1" customFormat="1" x14ac:dyDescent="0.2">
      <c r="A98" s="152" t="s">
        <v>114</v>
      </c>
      <c r="B98" s="49" t="s">
        <v>111</v>
      </c>
      <c r="C98" s="26">
        <v>-9.4791600000000004E-4</v>
      </c>
      <c r="D98" s="35"/>
      <c r="E98" s="31">
        <v>1</v>
      </c>
      <c r="F98" s="60">
        <v>0.10562355034874824</v>
      </c>
      <c r="G98" s="60">
        <v>0.40031325582175581</v>
      </c>
      <c r="H98" s="60">
        <v>-1.4354746986079782E-2</v>
      </c>
      <c r="I98" s="60">
        <v>-5.4404491077242371E-2</v>
      </c>
      <c r="J98" s="148">
        <v>300.33816280283759</v>
      </c>
      <c r="K98" s="148">
        <v>-59.437506059932275</v>
      </c>
      <c r="L98" s="148">
        <v>5.9633248976075546</v>
      </c>
      <c r="M98" s="60">
        <v>0.10562331284569507</v>
      </c>
      <c r="N98" s="60">
        <v>0.40031235568518431</v>
      </c>
      <c r="O98" s="60">
        <v>-1.4356494447090681E-2</v>
      </c>
      <c r="P98" s="60">
        <v>-5.4411113954473685E-2</v>
      </c>
      <c r="Q98" s="59">
        <v>418.16440110967773</v>
      </c>
      <c r="R98" s="59">
        <v>-56.837593337679245</v>
      </c>
      <c r="S98" s="60">
        <v>2.1669351760536144</v>
      </c>
      <c r="T98" s="60">
        <v>0.4165330949525281</v>
      </c>
      <c r="U98" s="60">
        <v>29.355522299881745</v>
      </c>
      <c r="V98" s="154">
        <f>IF(ISERR(Q98*($V$2/30)^2),"",(Q98*($V$2/30)^2))</f>
        <v>418.16440110967773</v>
      </c>
      <c r="W98" s="155">
        <f>IF(ISERR(((V98/453.59)*$V$2/375)*746),"",(((V98/453.59)*$V$2/375)*746))</f>
        <v>55.018963068466164</v>
      </c>
      <c r="X98" s="60">
        <v>23.54059961304965</v>
      </c>
      <c r="Y98" s="60">
        <v>119.90184961304965</v>
      </c>
      <c r="Z98" s="18" t="s">
        <v>113</v>
      </c>
      <c r="AA98" s="17" t="s">
        <v>113</v>
      </c>
      <c r="AB98" s="17"/>
      <c r="AC98" s="60">
        <f t="shared" si="1"/>
        <v>3.3165720233548253E-2</v>
      </c>
      <c r="AD98"/>
      <c r="AE98"/>
      <c r="AF98"/>
      <c r="AG98"/>
      <c r="AH98"/>
      <c r="AI98"/>
      <c r="AJ98"/>
      <c r="AK98"/>
      <c r="AL98"/>
      <c r="AM98"/>
      <c r="AN98"/>
      <c r="AO98"/>
      <c r="AP98"/>
      <c r="AQ98"/>
    </row>
    <row r="99" spans="1:43" s="1" customFormat="1" ht="13.5" thickBot="1" x14ac:dyDescent="0.25">
      <c r="A99" s="153" t="s">
        <v>114</v>
      </c>
      <c r="B99" s="50" t="s">
        <v>111</v>
      </c>
      <c r="C99" s="27">
        <v>-9.4791600000000004E-4</v>
      </c>
      <c r="D99" s="36"/>
      <c r="E99" s="32">
        <v>2</v>
      </c>
      <c r="F99" s="60">
        <v>0.10443550675727575</v>
      </c>
      <c r="G99" s="60">
        <v>0.39581057061007513</v>
      </c>
      <c r="H99" s="60">
        <v>-1.4120332233009424E-2</v>
      </c>
      <c r="I99" s="60">
        <v>-5.3516059163105714E-2</v>
      </c>
      <c r="J99" s="148">
        <v>295.28228111317412</v>
      </c>
      <c r="K99" s="148">
        <v>-58.539609624184848</v>
      </c>
      <c r="L99" s="148">
        <v>6.0506902221945653</v>
      </c>
      <c r="M99" s="60">
        <v>0.10443527313260269</v>
      </c>
      <c r="N99" s="60">
        <v>0.39580968517256421</v>
      </c>
      <c r="O99" s="60">
        <v>-1.4122060038756001E-2</v>
      </c>
      <c r="P99" s="60">
        <v>-5.3522607546885245E-2</v>
      </c>
      <c r="Q99" s="59">
        <v>413.46093270166108</v>
      </c>
      <c r="R99" s="59">
        <v>-55.909463729550133</v>
      </c>
      <c r="S99" s="60">
        <v>2.16232034917341</v>
      </c>
      <c r="T99" s="60">
        <v>0.41564602267444439</v>
      </c>
      <c r="U99" s="60">
        <v>29.324247054947588</v>
      </c>
      <c r="V99" s="154">
        <f>IF(ISERR(Q99*($V$2/30)^2),"",(Q99*($V$2/30)^2))</f>
        <v>413.46093270166108</v>
      </c>
      <c r="W99" s="155">
        <f>IF(ISERR(((V99/453.59)*$V$2/375)*746),"",(((V99/453.59)*$V$2/375)*746))</f>
        <v>54.400115663121177</v>
      </c>
      <c r="X99" s="60">
        <v>25.184419151296723</v>
      </c>
      <c r="Y99" s="60">
        <v>121.54566915129672</v>
      </c>
      <c r="Z99" s="20" t="s">
        <v>113</v>
      </c>
      <c r="AA99" s="21" t="s">
        <v>113</v>
      </c>
      <c r="AB99" s="21"/>
      <c r="AC99" s="60">
        <f t="shared" si="1"/>
        <v>3.2792675763637244E-2</v>
      </c>
      <c r="AD99"/>
      <c r="AE99"/>
      <c r="AF99"/>
      <c r="AG99"/>
      <c r="AH99"/>
      <c r="AI99"/>
      <c r="AJ99"/>
      <c r="AK99"/>
      <c r="AL99"/>
      <c r="AM99"/>
      <c r="AN99"/>
      <c r="AO99"/>
      <c r="AP99"/>
      <c r="AQ99"/>
    </row>
    <row r="100" spans="1:43" s="1" customFormat="1" x14ac:dyDescent="0.2">
      <c r="A100" s="152" t="s">
        <v>114</v>
      </c>
      <c r="B100" s="28" t="s">
        <v>111</v>
      </c>
      <c r="C100" s="144">
        <v>5</v>
      </c>
      <c r="D100" s="145">
        <v>33</v>
      </c>
      <c r="E100" s="146" t="s">
        <v>112</v>
      </c>
      <c r="F100" s="7" t="s">
        <v>113</v>
      </c>
      <c r="G100" s="7" t="s">
        <v>113</v>
      </c>
      <c r="H100" s="7" t="s">
        <v>113</v>
      </c>
      <c r="I100" s="7" t="s">
        <v>113</v>
      </c>
      <c r="J100" s="147" t="s">
        <v>113</v>
      </c>
      <c r="K100" s="147" t="s">
        <v>113</v>
      </c>
      <c r="L100" s="147" t="s">
        <v>113</v>
      </c>
      <c r="M100" s="7" t="s">
        <v>113</v>
      </c>
      <c r="N100" s="7" t="s">
        <v>113</v>
      </c>
      <c r="O100" s="7" t="s">
        <v>113</v>
      </c>
      <c r="P100" s="7" t="s">
        <v>113</v>
      </c>
      <c r="Q100" s="147" t="s">
        <v>113</v>
      </c>
      <c r="R100" s="147" t="s">
        <v>113</v>
      </c>
      <c r="S100" s="7" t="s">
        <v>113</v>
      </c>
      <c r="T100" s="7" t="s">
        <v>113</v>
      </c>
      <c r="U100" s="147" t="s">
        <v>113</v>
      </c>
      <c r="V100" s="147" t="str">
        <f>IF(ISERR(AVERAGE(V101:V102)),"",AVERAGE(V101:V102))</f>
        <v/>
      </c>
      <c r="W100" s="147" t="str">
        <f>IF(ISERR(AVERAGE(W101:W102)),"",AVERAGE(W101:W102))</f>
        <v/>
      </c>
      <c r="X100" s="7" t="s">
        <v>113</v>
      </c>
      <c r="Y100" s="7" t="s">
        <v>113</v>
      </c>
      <c r="Z100" s="7" t="s">
        <v>113</v>
      </c>
      <c r="AA100" s="7" t="s">
        <v>113</v>
      </c>
      <c r="AB100" s="12"/>
      <c r="AC100" s="7" t="str">
        <f t="shared" si="1"/>
        <v/>
      </c>
      <c r="AD100"/>
      <c r="AE100"/>
      <c r="AF100"/>
      <c r="AG100"/>
      <c r="AH100"/>
      <c r="AI100"/>
      <c r="AJ100"/>
      <c r="AK100"/>
      <c r="AL100"/>
      <c r="AM100"/>
      <c r="AN100"/>
      <c r="AO100"/>
      <c r="AP100"/>
      <c r="AQ100"/>
    </row>
    <row r="101" spans="1:43" x14ac:dyDescent="0.2">
      <c r="A101" s="152" t="s">
        <v>114</v>
      </c>
      <c r="B101" s="49" t="s">
        <v>111</v>
      </c>
      <c r="C101" s="26">
        <v>0</v>
      </c>
      <c r="D101" s="35"/>
      <c r="E101" s="31">
        <v>1</v>
      </c>
      <c r="F101" s="60" t="s">
        <v>113</v>
      </c>
      <c r="G101" s="60" t="s">
        <v>113</v>
      </c>
      <c r="H101" s="60" t="s">
        <v>113</v>
      </c>
      <c r="I101" s="60" t="s">
        <v>113</v>
      </c>
      <c r="J101" s="148" t="s">
        <v>113</v>
      </c>
      <c r="K101" s="148" t="s">
        <v>113</v>
      </c>
      <c r="L101" s="148" t="s">
        <v>113</v>
      </c>
      <c r="M101" s="60" t="s">
        <v>113</v>
      </c>
      <c r="N101" s="60" t="s">
        <v>113</v>
      </c>
      <c r="O101" s="60" t="s">
        <v>113</v>
      </c>
      <c r="P101" s="60" t="s">
        <v>113</v>
      </c>
      <c r="Q101" s="59" t="s">
        <v>113</v>
      </c>
      <c r="R101" s="59" t="s">
        <v>113</v>
      </c>
      <c r="S101" s="60" t="s">
        <v>113</v>
      </c>
      <c r="T101" s="60" t="s">
        <v>113</v>
      </c>
      <c r="U101" s="60" t="s">
        <v>113</v>
      </c>
      <c r="V101" s="154" t="str">
        <f>IF(ISERR(Q101*($V$2/30)^2),"",(Q101*($V$2/30)^2))</f>
        <v/>
      </c>
      <c r="W101" s="155" t="str">
        <f>IF(ISERR(((V101/453.59)*$V$2/375)*746),"",(((V101/453.59)*$V$2/375)*746))</f>
        <v/>
      </c>
      <c r="X101" s="60" t="s">
        <v>113</v>
      </c>
      <c r="Y101" s="60" t="s">
        <v>113</v>
      </c>
      <c r="Z101" s="18" t="s">
        <v>113</v>
      </c>
      <c r="AA101" s="17" t="s">
        <v>113</v>
      </c>
      <c r="AB101" s="17"/>
      <c r="AC101" s="60" t="str">
        <f t="shared" si="1"/>
        <v/>
      </c>
    </row>
    <row r="102" spans="1:43" ht="13.5" thickBot="1" x14ac:dyDescent="0.25">
      <c r="A102" s="153" t="s">
        <v>114</v>
      </c>
      <c r="B102" s="50" t="s">
        <v>111</v>
      </c>
      <c r="C102" s="27">
        <v>0</v>
      </c>
      <c r="D102" s="36"/>
      <c r="E102" s="32">
        <v>2</v>
      </c>
      <c r="F102" s="60" t="s">
        <v>113</v>
      </c>
      <c r="G102" s="60" t="s">
        <v>113</v>
      </c>
      <c r="H102" s="60" t="s">
        <v>113</v>
      </c>
      <c r="I102" s="60" t="s">
        <v>113</v>
      </c>
      <c r="J102" s="148" t="s">
        <v>113</v>
      </c>
      <c r="K102" s="148" t="s">
        <v>113</v>
      </c>
      <c r="L102" s="148" t="s">
        <v>113</v>
      </c>
      <c r="M102" s="60" t="s">
        <v>113</v>
      </c>
      <c r="N102" s="60" t="s">
        <v>113</v>
      </c>
      <c r="O102" s="60" t="s">
        <v>113</v>
      </c>
      <c r="P102" s="60" t="s">
        <v>113</v>
      </c>
      <c r="Q102" s="59" t="s">
        <v>113</v>
      </c>
      <c r="R102" s="59" t="s">
        <v>113</v>
      </c>
      <c r="S102" s="60" t="s">
        <v>113</v>
      </c>
      <c r="T102" s="60" t="s">
        <v>113</v>
      </c>
      <c r="U102" s="60" t="s">
        <v>113</v>
      </c>
      <c r="V102" s="154" t="str">
        <f>IF(ISERR(Q102*($V$2/30)^2),"",(Q102*($V$2/30)^2))</f>
        <v/>
      </c>
      <c r="W102" s="155" t="str">
        <f>IF(ISERR(((V102/453.59)*$V$2/375)*746),"",(((V102/453.59)*$V$2/375)*746))</f>
        <v/>
      </c>
      <c r="X102" s="60" t="s">
        <v>113</v>
      </c>
      <c r="Y102" s="60" t="s">
        <v>113</v>
      </c>
      <c r="Z102" s="20" t="s">
        <v>113</v>
      </c>
      <c r="AA102" s="21" t="s">
        <v>113</v>
      </c>
      <c r="AB102" s="21"/>
      <c r="AC102" s="60" t="str">
        <f t="shared" si="1"/>
        <v/>
      </c>
    </row>
    <row r="103" spans="1:43" s="1" customFormat="1" x14ac:dyDescent="0.2">
      <c r="A103" s="152" t="s">
        <v>114</v>
      </c>
      <c r="B103" s="28" t="s">
        <v>111</v>
      </c>
      <c r="C103" s="144">
        <v>-5</v>
      </c>
      <c r="D103" s="145">
        <v>34</v>
      </c>
      <c r="E103" s="146" t="s">
        <v>112</v>
      </c>
      <c r="F103" s="7" t="s">
        <v>113</v>
      </c>
      <c r="G103" s="7" t="s">
        <v>113</v>
      </c>
      <c r="H103" s="7" t="s">
        <v>113</v>
      </c>
      <c r="I103" s="7" t="s">
        <v>113</v>
      </c>
      <c r="J103" s="147" t="s">
        <v>113</v>
      </c>
      <c r="K103" s="147" t="s">
        <v>113</v>
      </c>
      <c r="L103" s="147" t="s">
        <v>113</v>
      </c>
      <c r="M103" s="7" t="s">
        <v>113</v>
      </c>
      <c r="N103" s="7" t="s">
        <v>113</v>
      </c>
      <c r="O103" s="7" t="s">
        <v>113</v>
      </c>
      <c r="P103" s="7" t="s">
        <v>113</v>
      </c>
      <c r="Q103" s="147" t="s">
        <v>113</v>
      </c>
      <c r="R103" s="147" t="s">
        <v>113</v>
      </c>
      <c r="S103" s="7" t="s">
        <v>113</v>
      </c>
      <c r="T103" s="7" t="s">
        <v>113</v>
      </c>
      <c r="U103" s="147" t="s">
        <v>113</v>
      </c>
      <c r="V103" s="147" t="str">
        <f>IF(ISERR(AVERAGE(V104:V105)),"",AVERAGE(V104:V105))</f>
        <v/>
      </c>
      <c r="W103" s="147" t="str">
        <f>IF(ISERR(AVERAGE(W104:W105)),"",AVERAGE(W104:W105))</f>
        <v/>
      </c>
      <c r="X103" s="7" t="s">
        <v>113</v>
      </c>
      <c r="Y103" s="7" t="s">
        <v>113</v>
      </c>
      <c r="Z103" s="7" t="s">
        <v>113</v>
      </c>
      <c r="AA103" s="7" t="s">
        <v>113</v>
      </c>
      <c r="AB103" s="12"/>
      <c r="AC103" s="7" t="str">
        <f t="shared" si="1"/>
        <v/>
      </c>
      <c r="AD103"/>
      <c r="AE103"/>
      <c r="AF103"/>
      <c r="AG103"/>
      <c r="AH103"/>
      <c r="AI103"/>
      <c r="AJ103"/>
      <c r="AK103"/>
      <c r="AL103"/>
      <c r="AM103"/>
      <c r="AN103"/>
      <c r="AO103"/>
      <c r="AP103"/>
      <c r="AQ103"/>
    </row>
    <row r="104" spans="1:43" x14ac:dyDescent="0.2">
      <c r="A104" s="152" t="s">
        <v>114</v>
      </c>
      <c r="B104" s="49" t="s">
        <v>111</v>
      </c>
      <c r="C104" s="26">
        <v>0</v>
      </c>
      <c r="D104" s="35"/>
      <c r="E104" s="31">
        <v>1</v>
      </c>
      <c r="F104" s="60" t="s">
        <v>113</v>
      </c>
      <c r="G104" s="60" t="s">
        <v>113</v>
      </c>
      <c r="H104" s="60" t="s">
        <v>113</v>
      </c>
      <c r="I104" s="60" t="s">
        <v>113</v>
      </c>
      <c r="J104" s="148" t="s">
        <v>113</v>
      </c>
      <c r="K104" s="148" t="s">
        <v>113</v>
      </c>
      <c r="L104" s="148" t="s">
        <v>113</v>
      </c>
      <c r="M104" s="60" t="s">
        <v>113</v>
      </c>
      <c r="N104" s="60" t="s">
        <v>113</v>
      </c>
      <c r="O104" s="60" t="s">
        <v>113</v>
      </c>
      <c r="P104" s="60" t="s">
        <v>113</v>
      </c>
      <c r="Q104" s="59" t="s">
        <v>113</v>
      </c>
      <c r="R104" s="59" t="s">
        <v>113</v>
      </c>
      <c r="S104" s="60" t="s">
        <v>113</v>
      </c>
      <c r="T104" s="60" t="s">
        <v>113</v>
      </c>
      <c r="U104" s="60" t="s">
        <v>113</v>
      </c>
      <c r="V104" s="154" t="str">
        <f>IF(ISERR(Q104*($V$2/30)^2),"",(Q104*($V$2/30)^2))</f>
        <v/>
      </c>
      <c r="W104" s="155" t="str">
        <f>IF(ISERR(((V104/453.59)*$V$2/375)*746),"",(((V104/453.59)*$V$2/375)*746))</f>
        <v/>
      </c>
      <c r="X104" s="60" t="s">
        <v>113</v>
      </c>
      <c r="Y104" s="60" t="s">
        <v>113</v>
      </c>
      <c r="Z104" s="18" t="s">
        <v>113</v>
      </c>
      <c r="AA104" s="17" t="s">
        <v>113</v>
      </c>
      <c r="AB104" s="17"/>
      <c r="AC104" s="60" t="str">
        <f t="shared" si="1"/>
        <v/>
      </c>
    </row>
    <row r="105" spans="1:43" ht="13.5" thickBot="1" x14ac:dyDescent="0.25">
      <c r="A105" s="153" t="s">
        <v>114</v>
      </c>
      <c r="B105" s="50" t="s">
        <v>111</v>
      </c>
      <c r="C105" s="27">
        <v>0</v>
      </c>
      <c r="D105" s="36"/>
      <c r="E105" s="32">
        <v>2</v>
      </c>
      <c r="F105" s="60" t="s">
        <v>113</v>
      </c>
      <c r="G105" s="60" t="s">
        <v>113</v>
      </c>
      <c r="H105" s="60" t="s">
        <v>113</v>
      </c>
      <c r="I105" s="60" t="s">
        <v>113</v>
      </c>
      <c r="J105" s="148" t="s">
        <v>113</v>
      </c>
      <c r="K105" s="148" t="s">
        <v>113</v>
      </c>
      <c r="L105" s="148" t="s">
        <v>113</v>
      </c>
      <c r="M105" s="60" t="s">
        <v>113</v>
      </c>
      <c r="N105" s="60" t="s">
        <v>113</v>
      </c>
      <c r="O105" s="60" t="s">
        <v>113</v>
      </c>
      <c r="P105" s="60" t="s">
        <v>113</v>
      </c>
      <c r="Q105" s="59" t="s">
        <v>113</v>
      </c>
      <c r="R105" s="59" t="s">
        <v>113</v>
      </c>
      <c r="S105" s="60" t="s">
        <v>113</v>
      </c>
      <c r="T105" s="60" t="s">
        <v>113</v>
      </c>
      <c r="U105" s="60" t="s">
        <v>113</v>
      </c>
      <c r="V105" s="154" t="str">
        <f>IF(ISERR(Q105*($V$2/30)^2),"",(Q105*($V$2/30)^2))</f>
        <v/>
      </c>
      <c r="W105" s="155" t="str">
        <f>IF(ISERR(((V105/453.59)*$V$2/375)*746),"",(((V105/453.59)*$V$2/375)*746))</f>
        <v/>
      </c>
      <c r="X105" s="60" t="s">
        <v>113</v>
      </c>
      <c r="Y105" s="60" t="s">
        <v>113</v>
      </c>
      <c r="Z105" s="20" t="s">
        <v>113</v>
      </c>
      <c r="AA105" s="21" t="s">
        <v>113</v>
      </c>
      <c r="AB105" s="21"/>
      <c r="AC105" s="60" t="str">
        <f t="shared" si="1"/>
        <v/>
      </c>
    </row>
    <row r="106" spans="1:43" s="1" customFormat="1" x14ac:dyDescent="0.2">
      <c r="A106" s="152" t="s">
        <v>114</v>
      </c>
      <c r="B106" s="28" t="s">
        <v>111</v>
      </c>
      <c r="C106" s="144">
        <v>0</v>
      </c>
      <c r="D106" s="145">
        <v>35</v>
      </c>
      <c r="E106" s="146" t="s">
        <v>112</v>
      </c>
      <c r="F106" s="7" t="s">
        <v>113</v>
      </c>
      <c r="G106" s="7" t="s">
        <v>113</v>
      </c>
      <c r="H106" s="7" t="s">
        <v>113</v>
      </c>
      <c r="I106" s="7" t="s">
        <v>113</v>
      </c>
      <c r="J106" s="147" t="s">
        <v>113</v>
      </c>
      <c r="K106" s="147" t="s">
        <v>113</v>
      </c>
      <c r="L106" s="147" t="s">
        <v>113</v>
      </c>
      <c r="M106" s="7" t="s">
        <v>113</v>
      </c>
      <c r="N106" s="7" t="s">
        <v>113</v>
      </c>
      <c r="O106" s="7" t="s">
        <v>113</v>
      </c>
      <c r="P106" s="7" t="s">
        <v>113</v>
      </c>
      <c r="Q106" s="147" t="s">
        <v>113</v>
      </c>
      <c r="R106" s="147" t="s">
        <v>113</v>
      </c>
      <c r="S106" s="7" t="s">
        <v>113</v>
      </c>
      <c r="T106" s="7" t="s">
        <v>113</v>
      </c>
      <c r="U106" s="147" t="s">
        <v>113</v>
      </c>
      <c r="V106" s="147" t="str">
        <f>IF(ISERR(AVERAGE(V107:V108)),"",AVERAGE(V107:V108))</f>
        <v/>
      </c>
      <c r="W106" s="147" t="str">
        <f>IF(ISERR(AVERAGE(W107:W108)),"",AVERAGE(W107:W108))</f>
        <v/>
      </c>
      <c r="X106" s="7" t="s">
        <v>113</v>
      </c>
      <c r="Y106" s="7" t="s">
        <v>113</v>
      </c>
      <c r="Z106" s="7" t="s">
        <v>113</v>
      </c>
      <c r="AA106" s="7" t="s">
        <v>113</v>
      </c>
      <c r="AB106" s="12"/>
      <c r="AC106" s="7" t="str">
        <f t="shared" si="1"/>
        <v/>
      </c>
      <c r="AD106"/>
      <c r="AE106"/>
      <c r="AF106"/>
      <c r="AG106"/>
      <c r="AH106"/>
      <c r="AI106"/>
      <c r="AJ106"/>
      <c r="AK106"/>
      <c r="AL106"/>
      <c r="AM106"/>
      <c r="AN106"/>
      <c r="AO106"/>
      <c r="AP106"/>
      <c r="AQ106"/>
    </row>
    <row r="107" spans="1:43" x14ac:dyDescent="0.2">
      <c r="A107" s="152" t="s">
        <v>114</v>
      </c>
      <c r="B107" s="49" t="s">
        <v>111</v>
      </c>
      <c r="C107" s="26">
        <v>0</v>
      </c>
      <c r="D107" s="35"/>
      <c r="E107" s="31">
        <v>1</v>
      </c>
      <c r="F107" s="60" t="s">
        <v>113</v>
      </c>
      <c r="G107" s="60" t="s">
        <v>113</v>
      </c>
      <c r="H107" s="60" t="s">
        <v>113</v>
      </c>
      <c r="I107" s="60" t="s">
        <v>113</v>
      </c>
      <c r="J107" s="148" t="s">
        <v>113</v>
      </c>
      <c r="K107" s="148" t="s">
        <v>113</v>
      </c>
      <c r="L107" s="148" t="s">
        <v>113</v>
      </c>
      <c r="M107" s="60" t="s">
        <v>113</v>
      </c>
      <c r="N107" s="60" t="s">
        <v>113</v>
      </c>
      <c r="O107" s="60" t="s">
        <v>113</v>
      </c>
      <c r="P107" s="60" t="s">
        <v>113</v>
      </c>
      <c r="Q107" s="59" t="s">
        <v>113</v>
      </c>
      <c r="R107" s="59" t="s">
        <v>113</v>
      </c>
      <c r="S107" s="60" t="s">
        <v>113</v>
      </c>
      <c r="T107" s="60" t="s">
        <v>113</v>
      </c>
      <c r="U107" s="60" t="s">
        <v>113</v>
      </c>
      <c r="V107" s="154" t="str">
        <f>IF(ISERR(Q107*($V$2/30)^2),"",(Q107*($V$2/30)^2))</f>
        <v/>
      </c>
      <c r="W107" s="155" t="str">
        <f>IF(ISERR(((V107/453.59)*$V$2/375)*746),"",(((V107/453.59)*$V$2/375)*746))</f>
        <v/>
      </c>
      <c r="X107" s="60" t="s">
        <v>113</v>
      </c>
      <c r="Y107" s="60" t="s">
        <v>113</v>
      </c>
      <c r="Z107" s="18" t="s">
        <v>113</v>
      </c>
      <c r="AA107" s="17" t="s">
        <v>113</v>
      </c>
      <c r="AB107" s="17"/>
      <c r="AC107" s="60" t="str">
        <f t="shared" si="1"/>
        <v/>
      </c>
    </row>
    <row r="108" spans="1:43" ht="13.5" thickBot="1" x14ac:dyDescent="0.25">
      <c r="A108" s="153" t="s">
        <v>114</v>
      </c>
      <c r="B108" s="50" t="s">
        <v>111</v>
      </c>
      <c r="C108" s="27">
        <v>0</v>
      </c>
      <c r="D108" s="36"/>
      <c r="E108" s="32">
        <v>2</v>
      </c>
      <c r="F108" s="60" t="s">
        <v>113</v>
      </c>
      <c r="G108" s="60" t="s">
        <v>113</v>
      </c>
      <c r="H108" s="60" t="s">
        <v>113</v>
      </c>
      <c r="I108" s="60" t="s">
        <v>113</v>
      </c>
      <c r="J108" s="148" t="s">
        <v>113</v>
      </c>
      <c r="K108" s="148" t="s">
        <v>113</v>
      </c>
      <c r="L108" s="148" t="s">
        <v>113</v>
      </c>
      <c r="M108" s="60" t="s">
        <v>113</v>
      </c>
      <c r="N108" s="60" t="s">
        <v>113</v>
      </c>
      <c r="O108" s="60" t="s">
        <v>113</v>
      </c>
      <c r="P108" s="60" t="s">
        <v>113</v>
      </c>
      <c r="Q108" s="59" t="s">
        <v>113</v>
      </c>
      <c r="R108" s="59" t="s">
        <v>113</v>
      </c>
      <c r="S108" s="60" t="s">
        <v>113</v>
      </c>
      <c r="T108" s="60" t="s">
        <v>113</v>
      </c>
      <c r="U108" s="60" t="s">
        <v>113</v>
      </c>
      <c r="V108" s="154" t="str">
        <f>IF(ISERR(Q108*($V$2/30)^2),"",(Q108*($V$2/30)^2))</f>
        <v/>
      </c>
      <c r="W108" s="155" t="str">
        <f>IF(ISERR(((V108/453.59)*$V$2/375)*746),"",(((V108/453.59)*$V$2/375)*746))</f>
        <v/>
      </c>
      <c r="X108" s="60" t="s">
        <v>113</v>
      </c>
      <c r="Y108" s="60" t="s">
        <v>113</v>
      </c>
      <c r="Z108" s="20" t="s">
        <v>113</v>
      </c>
      <c r="AA108" s="21" t="s">
        <v>113</v>
      </c>
      <c r="AB108" s="21"/>
      <c r="AC108" s="60" t="str">
        <f t="shared" si="1"/>
        <v/>
      </c>
    </row>
    <row r="109" spans="1:43" s="1" customFormat="1" x14ac:dyDescent="0.2">
      <c r="A109" s="152" t="s">
        <v>114</v>
      </c>
      <c r="B109" s="28" t="s">
        <v>111</v>
      </c>
      <c r="C109" s="144">
        <v>0</v>
      </c>
      <c r="D109" s="145">
        <v>36</v>
      </c>
      <c r="E109" s="146" t="s">
        <v>112</v>
      </c>
      <c r="F109" s="7" t="s">
        <v>113</v>
      </c>
      <c r="G109" s="7" t="s">
        <v>113</v>
      </c>
      <c r="H109" s="7" t="s">
        <v>113</v>
      </c>
      <c r="I109" s="7" t="s">
        <v>113</v>
      </c>
      <c r="J109" s="147" t="s">
        <v>113</v>
      </c>
      <c r="K109" s="147" t="s">
        <v>113</v>
      </c>
      <c r="L109" s="147" t="s">
        <v>113</v>
      </c>
      <c r="M109" s="7" t="s">
        <v>113</v>
      </c>
      <c r="N109" s="7" t="s">
        <v>113</v>
      </c>
      <c r="O109" s="7" t="s">
        <v>113</v>
      </c>
      <c r="P109" s="7" t="s">
        <v>113</v>
      </c>
      <c r="Q109" s="147" t="s">
        <v>113</v>
      </c>
      <c r="R109" s="147" t="s">
        <v>113</v>
      </c>
      <c r="S109" s="7" t="s">
        <v>113</v>
      </c>
      <c r="T109" s="7" t="s">
        <v>113</v>
      </c>
      <c r="U109" s="147" t="s">
        <v>113</v>
      </c>
      <c r="V109" s="147" t="str">
        <f>IF(ISERR(AVERAGE(V110:V111)),"",AVERAGE(V110:V111))</f>
        <v/>
      </c>
      <c r="W109" s="147" t="str">
        <f>IF(ISERR(AVERAGE(W110:W111)),"",AVERAGE(W110:W111))</f>
        <v/>
      </c>
      <c r="X109" s="7" t="s">
        <v>113</v>
      </c>
      <c r="Y109" s="7" t="s">
        <v>113</v>
      </c>
      <c r="Z109" s="7" t="s">
        <v>113</v>
      </c>
      <c r="AA109" s="7" t="s">
        <v>113</v>
      </c>
      <c r="AB109" s="12"/>
      <c r="AC109" s="7" t="str">
        <f t="shared" si="1"/>
        <v/>
      </c>
      <c r="AD109"/>
      <c r="AE109"/>
      <c r="AF109"/>
      <c r="AG109"/>
      <c r="AH109"/>
      <c r="AI109"/>
      <c r="AJ109"/>
      <c r="AK109"/>
      <c r="AL109"/>
      <c r="AM109"/>
      <c r="AN109"/>
      <c r="AO109"/>
      <c r="AP109"/>
      <c r="AQ109"/>
    </row>
    <row r="110" spans="1:43" x14ac:dyDescent="0.2">
      <c r="A110" s="152" t="s">
        <v>114</v>
      </c>
      <c r="B110" s="49" t="s">
        <v>111</v>
      </c>
      <c r="C110" s="26">
        <v>0</v>
      </c>
      <c r="D110" s="35"/>
      <c r="E110" s="31">
        <v>1</v>
      </c>
      <c r="F110" s="60" t="s">
        <v>113</v>
      </c>
      <c r="G110" s="60" t="s">
        <v>113</v>
      </c>
      <c r="H110" s="60" t="s">
        <v>113</v>
      </c>
      <c r="I110" s="60" t="s">
        <v>113</v>
      </c>
      <c r="J110" s="148" t="s">
        <v>113</v>
      </c>
      <c r="K110" s="148" t="s">
        <v>113</v>
      </c>
      <c r="L110" s="148" t="s">
        <v>113</v>
      </c>
      <c r="M110" s="60" t="s">
        <v>113</v>
      </c>
      <c r="N110" s="60" t="s">
        <v>113</v>
      </c>
      <c r="O110" s="60" t="s">
        <v>113</v>
      </c>
      <c r="P110" s="60" t="s">
        <v>113</v>
      </c>
      <c r="Q110" s="59" t="s">
        <v>113</v>
      </c>
      <c r="R110" s="59" t="s">
        <v>113</v>
      </c>
      <c r="S110" s="60" t="s">
        <v>113</v>
      </c>
      <c r="T110" s="60" t="s">
        <v>113</v>
      </c>
      <c r="U110" s="60" t="s">
        <v>113</v>
      </c>
      <c r="V110" s="154" t="str">
        <f>IF(ISERR(Q110*($V$2/30)^2),"",(Q110*($V$2/30)^2))</f>
        <v/>
      </c>
      <c r="W110" s="155" t="str">
        <f>IF(ISERR(((V110/453.59)*$V$2/375)*746),"",(((V110/453.59)*$V$2/375)*746))</f>
        <v/>
      </c>
      <c r="X110" s="60" t="s">
        <v>113</v>
      </c>
      <c r="Y110" s="60" t="s">
        <v>113</v>
      </c>
      <c r="Z110" s="18" t="s">
        <v>113</v>
      </c>
      <c r="AA110" s="17" t="s">
        <v>113</v>
      </c>
      <c r="AB110" s="17"/>
      <c r="AC110" s="60" t="str">
        <f t="shared" si="1"/>
        <v/>
      </c>
    </row>
    <row r="111" spans="1:43" ht="13.5" thickBot="1" x14ac:dyDescent="0.25">
      <c r="A111" s="153" t="s">
        <v>114</v>
      </c>
      <c r="B111" s="50" t="s">
        <v>111</v>
      </c>
      <c r="C111" s="27">
        <v>0</v>
      </c>
      <c r="D111" s="36"/>
      <c r="E111" s="32">
        <v>2</v>
      </c>
      <c r="F111" s="60" t="s">
        <v>113</v>
      </c>
      <c r="G111" s="60" t="s">
        <v>113</v>
      </c>
      <c r="H111" s="60" t="s">
        <v>113</v>
      </c>
      <c r="I111" s="60" t="s">
        <v>113</v>
      </c>
      <c r="J111" s="148" t="s">
        <v>113</v>
      </c>
      <c r="K111" s="148" t="s">
        <v>113</v>
      </c>
      <c r="L111" s="148" t="s">
        <v>113</v>
      </c>
      <c r="M111" s="60" t="s">
        <v>113</v>
      </c>
      <c r="N111" s="60" t="s">
        <v>113</v>
      </c>
      <c r="O111" s="60" t="s">
        <v>113</v>
      </c>
      <c r="P111" s="60" t="s">
        <v>113</v>
      </c>
      <c r="Q111" s="59" t="s">
        <v>113</v>
      </c>
      <c r="R111" s="59" t="s">
        <v>113</v>
      </c>
      <c r="S111" s="60" t="s">
        <v>113</v>
      </c>
      <c r="T111" s="60" t="s">
        <v>113</v>
      </c>
      <c r="U111" s="60" t="s">
        <v>113</v>
      </c>
      <c r="V111" s="154" t="str">
        <f>IF(ISERR(Q111*($V$2/30)^2),"",(Q111*($V$2/30)^2))</f>
        <v/>
      </c>
      <c r="W111" s="155" t="str">
        <f>IF(ISERR(((V111/453.59)*$V$2/375)*746),"",(((V111/453.59)*$V$2/375)*746))</f>
        <v/>
      </c>
      <c r="X111" s="60" t="s">
        <v>113</v>
      </c>
      <c r="Y111" s="60" t="s">
        <v>113</v>
      </c>
      <c r="Z111" s="20" t="s">
        <v>113</v>
      </c>
      <c r="AA111" s="21" t="s">
        <v>113</v>
      </c>
      <c r="AB111" s="21"/>
      <c r="AC111" s="60" t="str">
        <f t="shared" si="1"/>
        <v/>
      </c>
    </row>
    <row r="112" spans="1:43" s="1" customFormat="1" x14ac:dyDescent="0.2">
      <c r="A112" s="152" t="s">
        <v>114</v>
      </c>
      <c r="B112" s="28" t="s">
        <v>111</v>
      </c>
      <c r="C112" s="144">
        <v>0</v>
      </c>
      <c r="D112" s="145">
        <v>37</v>
      </c>
      <c r="E112" s="146" t="s">
        <v>112</v>
      </c>
      <c r="F112" s="7" t="s">
        <v>113</v>
      </c>
      <c r="G112" s="7" t="s">
        <v>113</v>
      </c>
      <c r="H112" s="7" t="s">
        <v>113</v>
      </c>
      <c r="I112" s="7" t="s">
        <v>113</v>
      </c>
      <c r="J112" s="147" t="s">
        <v>113</v>
      </c>
      <c r="K112" s="147" t="s">
        <v>113</v>
      </c>
      <c r="L112" s="147" t="s">
        <v>113</v>
      </c>
      <c r="M112" s="7" t="s">
        <v>113</v>
      </c>
      <c r="N112" s="7" t="s">
        <v>113</v>
      </c>
      <c r="O112" s="7" t="s">
        <v>113</v>
      </c>
      <c r="P112" s="7" t="s">
        <v>113</v>
      </c>
      <c r="Q112" s="147" t="s">
        <v>113</v>
      </c>
      <c r="R112" s="147" t="s">
        <v>113</v>
      </c>
      <c r="S112" s="7" t="s">
        <v>113</v>
      </c>
      <c r="T112" s="7" t="s">
        <v>113</v>
      </c>
      <c r="U112" s="147" t="s">
        <v>113</v>
      </c>
      <c r="V112" s="147" t="str">
        <f>IF(ISERR(AVERAGE(V113:V114)),"",AVERAGE(V113:V114))</f>
        <v/>
      </c>
      <c r="W112" s="147" t="str">
        <f>IF(ISERR(AVERAGE(W113:W114)),"",AVERAGE(W113:W114))</f>
        <v/>
      </c>
      <c r="X112" s="7" t="s">
        <v>113</v>
      </c>
      <c r="Y112" s="7" t="s">
        <v>113</v>
      </c>
      <c r="Z112" s="7" t="s">
        <v>113</v>
      </c>
      <c r="AA112" s="7" t="s">
        <v>113</v>
      </c>
      <c r="AB112" s="12"/>
      <c r="AC112" s="7" t="str">
        <f t="shared" si="1"/>
        <v/>
      </c>
      <c r="AD112"/>
      <c r="AE112"/>
      <c r="AF112"/>
      <c r="AG112"/>
      <c r="AH112"/>
      <c r="AI112"/>
      <c r="AJ112"/>
      <c r="AK112"/>
      <c r="AL112"/>
      <c r="AM112"/>
      <c r="AN112"/>
      <c r="AO112"/>
      <c r="AP112"/>
      <c r="AQ112"/>
    </row>
    <row r="113" spans="1:43" x14ac:dyDescent="0.2">
      <c r="A113" s="152" t="s">
        <v>114</v>
      </c>
      <c r="B113" s="49" t="s">
        <v>111</v>
      </c>
      <c r="C113" s="26">
        <v>0</v>
      </c>
      <c r="D113" s="35"/>
      <c r="E113" s="31">
        <v>1</v>
      </c>
      <c r="F113" s="60" t="s">
        <v>113</v>
      </c>
      <c r="G113" s="60" t="s">
        <v>113</v>
      </c>
      <c r="H113" s="60" t="s">
        <v>113</v>
      </c>
      <c r="I113" s="60" t="s">
        <v>113</v>
      </c>
      <c r="J113" s="148" t="s">
        <v>113</v>
      </c>
      <c r="K113" s="148" t="s">
        <v>113</v>
      </c>
      <c r="L113" s="148" t="s">
        <v>113</v>
      </c>
      <c r="M113" s="60" t="s">
        <v>113</v>
      </c>
      <c r="N113" s="60" t="s">
        <v>113</v>
      </c>
      <c r="O113" s="60" t="s">
        <v>113</v>
      </c>
      <c r="P113" s="60" t="s">
        <v>113</v>
      </c>
      <c r="Q113" s="59" t="s">
        <v>113</v>
      </c>
      <c r="R113" s="59" t="s">
        <v>113</v>
      </c>
      <c r="S113" s="60" t="s">
        <v>113</v>
      </c>
      <c r="T113" s="60" t="s">
        <v>113</v>
      </c>
      <c r="U113" s="60" t="s">
        <v>113</v>
      </c>
      <c r="V113" s="154" t="str">
        <f>IF(ISERR(Q113*($V$2/30)^2),"",(Q113*($V$2/30)^2))</f>
        <v/>
      </c>
      <c r="W113" s="155" t="str">
        <f>IF(ISERR(((V113/453.59)*$V$2/375)*746),"",(((V113/453.59)*$V$2/375)*746))</f>
        <v/>
      </c>
      <c r="X113" s="60" t="s">
        <v>113</v>
      </c>
      <c r="Y113" s="60" t="s">
        <v>113</v>
      </c>
      <c r="Z113" s="18" t="s">
        <v>113</v>
      </c>
      <c r="AA113" s="17" t="s">
        <v>113</v>
      </c>
      <c r="AB113" s="17"/>
      <c r="AC113" s="60" t="str">
        <f t="shared" si="1"/>
        <v/>
      </c>
    </row>
    <row r="114" spans="1:43" ht="13.5" thickBot="1" x14ac:dyDescent="0.25">
      <c r="A114" s="153" t="s">
        <v>114</v>
      </c>
      <c r="B114" s="50" t="s">
        <v>111</v>
      </c>
      <c r="C114" s="27">
        <v>0</v>
      </c>
      <c r="D114" s="36"/>
      <c r="E114" s="32">
        <v>2</v>
      </c>
      <c r="F114" s="60" t="s">
        <v>113</v>
      </c>
      <c r="G114" s="60" t="s">
        <v>113</v>
      </c>
      <c r="H114" s="60" t="s">
        <v>113</v>
      </c>
      <c r="I114" s="60" t="s">
        <v>113</v>
      </c>
      <c r="J114" s="148" t="s">
        <v>113</v>
      </c>
      <c r="K114" s="148" t="s">
        <v>113</v>
      </c>
      <c r="L114" s="148" t="s">
        <v>113</v>
      </c>
      <c r="M114" s="60" t="s">
        <v>113</v>
      </c>
      <c r="N114" s="60" t="s">
        <v>113</v>
      </c>
      <c r="O114" s="60" t="s">
        <v>113</v>
      </c>
      <c r="P114" s="60" t="s">
        <v>113</v>
      </c>
      <c r="Q114" s="59" t="s">
        <v>113</v>
      </c>
      <c r="R114" s="59" t="s">
        <v>113</v>
      </c>
      <c r="S114" s="60" t="s">
        <v>113</v>
      </c>
      <c r="T114" s="60" t="s">
        <v>113</v>
      </c>
      <c r="U114" s="60" t="s">
        <v>113</v>
      </c>
      <c r="V114" s="154" t="str">
        <f>IF(ISERR(Q114*($V$2/30)^2),"",(Q114*($V$2/30)^2))</f>
        <v/>
      </c>
      <c r="W114" s="155" t="str">
        <f>IF(ISERR(((V114/453.59)*$V$2/375)*746),"",(((V114/453.59)*$V$2/375)*746))</f>
        <v/>
      </c>
      <c r="X114" s="60" t="s">
        <v>113</v>
      </c>
      <c r="Y114" s="60" t="s">
        <v>113</v>
      </c>
      <c r="Z114" s="20" t="s">
        <v>113</v>
      </c>
      <c r="AA114" s="21" t="s">
        <v>113</v>
      </c>
      <c r="AB114" s="21"/>
      <c r="AC114" s="60" t="str">
        <f t="shared" si="1"/>
        <v/>
      </c>
    </row>
    <row r="115" spans="1:43" s="1" customFormat="1" x14ac:dyDescent="0.2">
      <c r="A115" s="152" t="s">
        <v>114</v>
      </c>
      <c r="B115" s="28" t="s">
        <v>111</v>
      </c>
      <c r="C115" s="144">
        <v>0</v>
      </c>
      <c r="D115" s="145">
        <v>38</v>
      </c>
      <c r="E115" s="146" t="s">
        <v>112</v>
      </c>
      <c r="F115" s="7" t="s">
        <v>113</v>
      </c>
      <c r="G115" s="7" t="s">
        <v>113</v>
      </c>
      <c r="H115" s="7" t="s">
        <v>113</v>
      </c>
      <c r="I115" s="7" t="s">
        <v>113</v>
      </c>
      <c r="J115" s="147" t="s">
        <v>113</v>
      </c>
      <c r="K115" s="147" t="s">
        <v>113</v>
      </c>
      <c r="L115" s="147" t="s">
        <v>113</v>
      </c>
      <c r="M115" s="7" t="s">
        <v>113</v>
      </c>
      <c r="N115" s="7" t="s">
        <v>113</v>
      </c>
      <c r="O115" s="7" t="s">
        <v>113</v>
      </c>
      <c r="P115" s="7" t="s">
        <v>113</v>
      </c>
      <c r="Q115" s="147" t="s">
        <v>113</v>
      </c>
      <c r="R115" s="147" t="s">
        <v>113</v>
      </c>
      <c r="S115" s="7" t="s">
        <v>113</v>
      </c>
      <c r="T115" s="7" t="s">
        <v>113</v>
      </c>
      <c r="U115" s="147" t="s">
        <v>113</v>
      </c>
      <c r="V115" s="147" t="str">
        <f>IF(ISERR(AVERAGE(V116:V117)),"",AVERAGE(V116:V117))</f>
        <v/>
      </c>
      <c r="W115" s="147" t="str">
        <f>IF(ISERR(AVERAGE(W116:W117)),"",AVERAGE(W116:W117))</f>
        <v/>
      </c>
      <c r="X115" s="7" t="s">
        <v>113</v>
      </c>
      <c r="Y115" s="7" t="s">
        <v>113</v>
      </c>
      <c r="Z115" s="7" t="s">
        <v>113</v>
      </c>
      <c r="AA115" s="7" t="s">
        <v>113</v>
      </c>
      <c r="AB115" s="12"/>
      <c r="AC115" s="7" t="str">
        <f t="shared" si="1"/>
        <v/>
      </c>
      <c r="AD115"/>
      <c r="AE115"/>
      <c r="AF115"/>
      <c r="AG115"/>
      <c r="AH115"/>
      <c r="AI115"/>
      <c r="AJ115"/>
      <c r="AK115"/>
      <c r="AL115"/>
      <c r="AM115"/>
      <c r="AN115"/>
      <c r="AO115"/>
      <c r="AP115"/>
      <c r="AQ115"/>
    </row>
    <row r="116" spans="1:43" x14ac:dyDescent="0.2">
      <c r="A116" s="152" t="s">
        <v>114</v>
      </c>
      <c r="B116" s="49" t="s">
        <v>111</v>
      </c>
      <c r="C116" s="26">
        <v>0</v>
      </c>
      <c r="D116" s="35"/>
      <c r="E116" s="31">
        <v>1</v>
      </c>
      <c r="F116" s="60" t="s">
        <v>113</v>
      </c>
      <c r="G116" s="60" t="s">
        <v>113</v>
      </c>
      <c r="H116" s="60" t="s">
        <v>113</v>
      </c>
      <c r="I116" s="60" t="s">
        <v>113</v>
      </c>
      <c r="J116" s="148" t="s">
        <v>113</v>
      </c>
      <c r="K116" s="148" t="s">
        <v>113</v>
      </c>
      <c r="L116" s="148" t="s">
        <v>113</v>
      </c>
      <c r="M116" s="60" t="s">
        <v>113</v>
      </c>
      <c r="N116" s="60" t="s">
        <v>113</v>
      </c>
      <c r="O116" s="60" t="s">
        <v>113</v>
      </c>
      <c r="P116" s="60" t="s">
        <v>113</v>
      </c>
      <c r="Q116" s="59" t="s">
        <v>113</v>
      </c>
      <c r="R116" s="59" t="s">
        <v>113</v>
      </c>
      <c r="S116" s="60" t="s">
        <v>113</v>
      </c>
      <c r="T116" s="60" t="s">
        <v>113</v>
      </c>
      <c r="U116" s="60" t="s">
        <v>113</v>
      </c>
      <c r="V116" s="154" t="str">
        <f>IF(ISERR(Q116*($V$2/30)^2),"",(Q116*($V$2/30)^2))</f>
        <v/>
      </c>
      <c r="W116" s="155" t="str">
        <f>IF(ISERR(((V116/453.59)*$V$2/375)*746),"",(((V116/453.59)*$V$2/375)*746))</f>
        <v/>
      </c>
      <c r="X116" s="60" t="s">
        <v>113</v>
      </c>
      <c r="Y116" s="60" t="s">
        <v>113</v>
      </c>
      <c r="Z116" s="18" t="s">
        <v>113</v>
      </c>
      <c r="AA116" s="17" t="s">
        <v>113</v>
      </c>
      <c r="AB116" s="17"/>
      <c r="AC116" s="60" t="str">
        <f t="shared" si="1"/>
        <v/>
      </c>
    </row>
    <row r="117" spans="1:43" ht="13.5" thickBot="1" x14ac:dyDescent="0.25">
      <c r="A117" s="153" t="s">
        <v>114</v>
      </c>
      <c r="B117" s="50" t="s">
        <v>111</v>
      </c>
      <c r="C117" s="27">
        <v>0</v>
      </c>
      <c r="D117" s="36"/>
      <c r="E117" s="32">
        <v>2</v>
      </c>
      <c r="F117" s="60" t="s">
        <v>113</v>
      </c>
      <c r="G117" s="60" t="s">
        <v>113</v>
      </c>
      <c r="H117" s="60" t="s">
        <v>113</v>
      </c>
      <c r="I117" s="60" t="s">
        <v>113</v>
      </c>
      <c r="J117" s="148" t="s">
        <v>113</v>
      </c>
      <c r="K117" s="148" t="s">
        <v>113</v>
      </c>
      <c r="L117" s="148" t="s">
        <v>113</v>
      </c>
      <c r="M117" s="60" t="s">
        <v>113</v>
      </c>
      <c r="N117" s="60" t="s">
        <v>113</v>
      </c>
      <c r="O117" s="60" t="s">
        <v>113</v>
      </c>
      <c r="P117" s="60" t="s">
        <v>113</v>
      </c>
      <c r="Q117" s="59" t="s">
        <v>113</v>
      </c>
      <c r="R117" s="59" t="s">
        <v>113</v>
      </c>
      <c r="S117" s="60" t="s">
        <v>113</v>
      </c>
      <c r="T117" s="60" t="s">
        <v>113</v>
      </c>
      <c r="U117" s="60" t="s">
        <v>113</v>
      </c>
      <c r="V117" s="154" t="str">
        <f>IF(ISERR(Q117*($V$2/30)^2),"",(Q117*($V$2/30)^2))</f>
        <v/>
      </c>
      <c r="W117" s="155" t="str">
        <f>IF(ISERR(((V117/453.59)*$V$2/375)*746),"",(((V117/453.59)*$V$2/375)*746))</f>
        <v/>
      </c>
      <c r="X117" s="60" t="s">
        <v>113</v>
      </c>
      <c r="Y117" s="60" t="s">
        <v>113</v>
      </c>
      <c r="Z117" s="20" t="s">
        <v>113</v>
      </c>
      <c r="AA117" s="21" t="s">
        <v>113</v>
      </c>
      <c r="AB117" s="21"/>
      <c r="AC117" s="60" t="str">
        <f t="shared" si="1"/>
        <v/>
      </c>
    </row>
    <row r="118" spans="1:43" s="1" customFormat="1" x14ac:dyDescent="0.2">
      <c r="A118" s="152" t="s">
        <v>114</v>
      </c>
      <c r="B118" s="28" t="s">
        <v>111</v>
      </c>
      <c r="C118" s="144">
        <v>0</v>
      </c>
      <c r="D118" s="145">
        <v>39</v>
      </c>
      <c r="E118" s="146" t="s">
        <v>112</v>
      </c>
      <c r="F118" s="7" t="s">
        <v>113</v>
      </c>
      <c r="G118" s="7" t="s">
        <v>113</v>
      </c>
      <c r="H118" s="7" t="s">
        <v>113</v>
      </c>
      <c r="I118" s="7" t="s">
        <v>113</v>
      </c>
      <c r="J118" s="147" t="s">
        <v>113</v>
      </c>
      <c r="K118" s="147" t="s">
        <v>113</v>
      </c>
      <c r="L118" s="147" t="s">
        <v>113</v>
      </c>
      <c r="M118" s="7" t="s">
        <v>113</v>
      </c>
      <c r="N118" s="7" t="s">
        <v>113</v>
      </c>
      <c r="O118" s="7" t="s">
        <v>113</v>
      </c>
      <c r="P118" s="7" t="s">
        <v>113</v>
      </c>
      <c r="Q118" s="147" t="s">
        <v>113</v>
      </c>
      <c r="R118" s="147" t="s">
        <v>113</v>
      </c>
      <c r="S118" s="7" t="s">
        <v>113</v>
      </c>
      <c r="T118" s="7" t="s">
        <v>113</v>
      </c>
      <c r="U118" s="147" t="s">
        <v>113</v>
      </c>
      <c r="V118" s="147" t="str">
        <f>IF(ISERR(AVERAGE(V119:V120)),"",AVERAGE(V119:V120))</f>
        <v/>
      </c>
      <c r="W118" s="147" t="str">
        <f>IF(ISERR(AVERAGE(W119:W120)),"",AVERAGE(W119:W120))</f>
        <v/>
      </c>
      <c r="X118" s="7" t="s">
        <v>113</v>
      </c>
      <c r="Y118" s="7" t="s">
        <v>113</v>
      </c>
      <c r="Z118" s="7" t="s">
        <v>113</v>
      </c>
      <c r="AA118" s="7" t="s">
        <v>113</v>
      </c>
      <c r="AB118" s="12"/>
      <c r="AC118" s="7" t="str">
        <f t="shared" si="1"/>
        <v/>
      </c>
      <c r="AD118"/>
      <c r="AE118"/>
      <c r="AF118"/>
      <c r="AG118"/>
      <c r="AH118"/>
      <c r="AI118"/>
      <c r="AJ118"/>
      <c r="AK118"/>
      <c r="AL118"/>
      <c r="AM118"/>
      <c r="AN118"/>
      <c r="AO118"/>
      <c r="AP118"/>
      <c r="AQ118"/>
    </row>
    <row r="119" spans="1:43" x14ac:dyDescent="0.2">
      <c r="A119" s="152" t="s">
        <v>114</v>
      </c>
      <c r="B119" s="49" t="s">
        <v>111</v>
      </c>
      <c r="C119" s="26">
        <v>0</v>
      </c>
      <c r="D119" s="35"/>
      <c r="E119" s="31">
        <v>1</v>
      </c>
      <c r="F119" s="60" t="s">
        <v>113</v>
      </c>
      <c r="G119" s="60" t="s">
        <v>113</v>
      </c>
      <c r="H119" s="60" t="s">
        <v>113</v>
      </c>
      <c r="I119" s="60" t="s">
        <v>113</v>
      </c>
      <c r="J119" s="148" t="s">
        <v>113</v>
      </c>
      <c r="K119" s="148" t="s">
        <v>113</v>
      </c>
      <c r="L119" s="148" t="s">
        <v>113</v>
      </c>
      <c r="M119" s="60" t="s">
        <v>113</v>
      </c>
      <c r="N119" s="60" t="s">
        <v>113</v>
      </c>
      <c r="O119" s="60" t="s">
        <v>113</v>
      </c>
      <c r="P119" s="60" t="s">
        <v>113</v>
      </c>
      <c r="Q119" s="59" t="s">
        <v>113</v>
      </c>
      <c r="R119" s="59" t="s">
        <v>113</v>
      </c>
      <c r="S119" s="60" t="s">
        <v>113</v>
      </c>
      <c r="T119" s="60" t="s">
        <v>113</v>
      </c>
      <c r="U119" s="60" t="s">
        <v>113</v>
      </c>
      <c r="V119" s="154" t="str">
        <f>IF(ISERR(Q119*($V$2/30)^2),"",(Q119*($V$2/30)^2))</f>
        <v/>
      </c>
      <c r="W119" s="155" t="str">
        <f>IF(ISERR(((V119/453.59)*$V$2/375)*746),"",(((V119/453.59)*$V$2/375)*746))</f>
        <v/>
      </c>
      <c r="X119" s="60" t="s">
        <v>113</v>
      </c>
      <c r="Y119" s="60" t="s">
        <v>113</v>
      </c>
      <c r="Z119" s="18" t="s">
        <v>113</v>
      </c>
      <c r="AA119" s="17" t="s">
        <v>113</v>
      </c>
      <c r="AB119" s="17"/>
      <c r="AC119" s="60" t="str">
        <f t="shared" si="1"/>
        <v/>
      </c>
    </row>
    <row r="120" spans="1:43" ht="13.5" thickBot="1" x14ac:dyDescent="0.25">
      <c r="A120" s="153" t="s">
        <v>114</v>
      </c>
      <c r="B120" s="50" t="s">
        <v>111</v>
      </c>
      <c r="C120" s="27">
        <v>0</v>
      </c>
      <c r="D120" s="36"/>
      <c r="E120" s="32">
        <v>2</v>
      </c>
      <c r="F120" s="60" t="s">
        <v>113</v>
      </c>
      <c r="G120" s="60" t="s">
        <v>113</v>
      </c>
      <c r="H120" s="60" t="s">
        <v>113</v>
      </c>
      <c r="I120" s="60" t="s">
        <v>113</v>
      </c>
      <c r="J120" s="148" t="s">
        <v>113</v>
      </c>
      <c r="K120" s="148" t="s">
        <v>113</v>
      </c>
      <c r="L120" s="148" t="s">
        <v>113</v>
      </c>
      <c r="M120" s="60" t="s">
        <v>113</v>
      </c>
      <c r="N120" s="60" t="s">
        <v>113</v>
      </c>
      <c r="O120" s="60" t="s">
        <v>113</v>
      </c>
      <c r="P120" s="60" t="s">
        <v>113</v>
      </c>
      <c r="Q120" s="59" t="s">
        <v>113</v>
      </c>
      <c r="R120" s="59" t="s">
        <v>113</v>
      </c>
      <c r="S120" s="60" t="s">
        <v>113</v>
      </c>
      <c r="T120" s="60" t="s">
        <v>113</v>
      </c>
      <c r="U120" s="60" t="s">
        <v>113</v>
      </c>
      <c r="V120" s="154" t="str">
        <f>IF(ISERR(Q120*($V$2/30)^2),"",(Q120*($V$2/30)^2))</f>
        <v/>
      </c>
      <c r="W120" s="155" t="str">
        <f>IF(ISERR(((V120/453.59)*$V$2/375)*746),"",(((V120/453.59)*$V$2/375)*746))</f>
        <v/>
      </c>
      <c r="X120" s="60" t="s">
        <v>113</v>
      </c>
      <c r="Y120" s="60" t="s">
        <v>113</v>
      </c>
      <c r="Z120" s="20" t="s">
        <v>113</v>
      </c>
      <c r="AA120" s="21" t="s">
        <v>113</v>
      </c>
      <c r="AB120" s="21"/>
      <c r="AC120" s="60" t="str">
        <f t="shared" si="1"/>
        <v/>
      </c>
    </row>
    <row r="121" spans="1:43" s="1" customFormat="1" x14ac:dyDescent="0.2">
      <c r="A121" s="152" t="s">
        <v>114</v>
      </c>
      <c r="B121" s="28" t="s">
        <v>111</v>
      </c>
      <c r="C121" s="144">
        <v>0</v>
      </c>
      <c r="D121" s="145">
        <v>40</v>
      </c>
      <c r="E121" s="146" t="s">
        <v>112</v>
      </c>
      <c r="F121" s="7" t="s">
        <v>113</v>
      </c>
      <c r="G121" s="7" t="s">
        <v>113</v>
      </c>
      <c r="H121" s="7" t="s">
        <v>113</v>
      </c>
      <c r="I121" s="7" t="s">
        <v>113</v>
      </c>
      <c r="J121" s="147" t="s">
        <v>113</v>
      </c>
      <c r="K121" s="147" t="s">
        <v>113</v>
      </c>
      <c r="L121" s="147" t="s">
        <v>113</v>
      </c>
      <c r="M121" s="7" t="s">
        <v>113</v>
      </c>
      <c r="N121" s="7" t="s">
        <v>113</v>
      </c>
      <c r="O121" s="7" t="s">
        <v>113</v>
      </c>
      <c r="P121" s="7" t="s">
        <v>113</v>
      </c>
      <c r="Q121" s="147" t="s">
        <v>113</v>
      </c>
      <c r="R121" s="147" t="s">
        <v>113</v>
      </c>
      <c r="S121" s="7" t="s">
        <v>113</v>
      </c>
      <c r="T121" s="7" t="s">
        <v>113</v>
      </c>
      <c r="U121" s="147" t="s">
        <v>113</v>
      </c>
      <c r="V121" s="147" t="str">
        <f>IF(ISERR(AVERAGE(V122:V123)),"",AVERAGE(V122:V123))</f>
        <v/>
      </c>
      <c r="W121" s="147" t="str">
        <f>IF(ISERR(AVERAGE(W122:W123)),"",AVERAGE(W122:W123))</f>
        <v/>
      </c>
      <c r="X121" s="7" t="s">
        <v>113</v>
      </c>
      <c r="Y121" s="7" t="s">
        <v>113</v>
      </c>
      <c r="Z121" s="7" t="s">
        <v>113</v>
      </c>
      <c r="AA121" s="7" t="s">
        <v>113</v>
      </c>
      <c r="AB121" s="12"/>
      <c r="AC121" s="7" t="str">
        <f t="shared" si="1"/>
        <v/>
      </c>
      <c r="AD121"/>
      <c r="AE121"/>
      <c r="AF121"/>
      <c r="AG121"/>
      <c r="AH121"/>
      <c r="AI121"/>
      <c r="AJ121"/>
      <c r="AK121"/>
      <c r="AL121"/>
      <c r="AM121"/>
      <c r="AN121"/>
      <c r="AO121"/>
      <c r="AP121"/>
      <c r="AQ121"/>
    </row>
    <row r="122" spans="1:43" x14ac:dyDescent="0.2">
      <c r="A122" s="152" t="s">
        <v>114</v>
      </c>
      <c r="B122" s="49" t="s">
        <v>111</v>
      </c>
      <c r="C122" s="26">
        <v>0</v>
      </c>
      <c r="D122" s="35"/>
      <c r="E122" s="31">
        <v>1</v>
      </c>
      <c r="F122" s="60" t="s">
        <v>113</v>
      </c>
      <c r="G122" s="60" t="s">
        <v>113</v>
      </c>
      <c r="H122" s="60" t="s">
        <v>113</v>
      </c>
      <c r="I122" s="60" t="s">
        <v>113</v>
      </c>
      <c r="J122" s="148" t="s">
        <v>113</v>
      </c>
      <c r="K122" s="148" t="s">
        <v>113</v>
      </c>
      <c r="L122" s="148" t="s">
        <v>113</v>
      </c>
      <c r="M122" s="60" t="s">
        <v>113</v>
      </c>
      <c r="N122" s="60" t="s">
        <v>113</v>
      </c>
      <c r="O122" s="60" t="s">
        <v>113</v>
      </c>
      <c r="P122" s="60" t="s">
        <v>113</v>
      </c>
      <c r="Q122" s="59" t="s">
        <v>113</v>
      </c>
      <c r="R122" s="59" t="s">
        <v>113</v>
      </c>
      <c r="S122" s="60" t="s">
        <v>113</v>
      </c>
      <c r="T122" s="60" t="s">
        <v>113</v>
      </c>
      <c r="U122" s="60" t="s">
        <v>113</v>
      </c>
      <c r="V122" s="154" t="str">
        <f>IF(ISERR(Q122*($V$2/30)^2),"",(Q122*($V$2/30)^2))</f>
        <v/>
      </c>
      <c r="W122" s="155" t="str">
        <f>IF(ISERR(((V122/453.59)*$V$2/375)*746),"",(((V122/453.59)*$V$2/375)*746))</f>
        <v/>
      </c>
      <c r="X122" s="60" t="s">
        <v>113</v>
      </c>
      <c r="Y122" s="60" t="s">
        <v>113</v>
      </c>
      <c r="Z122" s="18" t="s">
        <v>113</v>
      </c>
      <c r="AA122" s="17" t="s">
        <v>113</v>
      </c>
      <c r="AB122" s="17"/>
      <c r="AC122" s="60" t="str">
        <f t="shared" si="1"/>
        <v/>
      </c>
    </row>
    <row r="123" spans="1:43" ht="13.5" thickBot="1" x14ac:dyDescent="0.25">
      <c r="A123" s="153" t="s">
        <v>114</v>
      </c>
      <c r="B123" s="50" t="s">
        <v>111</v>
      </c>
      <c r="C123" s="27">
        <v>0</v>
      </c>
      <c r="D123" s="36"/>
      <c r="E123" s="32">
        <v>2</v>
      </c>
      <c r="F123" s="60" t="s">
        <v>113</v>
      </c>
      <c r="G123" s="60" t="s">
        <v>113</v>
      </c>
      <c r="H123" s="60" t="s">
        <v>113</v>
      </c>
      <c r="I123" s="60" t="s">
        <v>113</v>
      </c>
      <c r="J123" s="148" t="s">
        <v>113</v>
      </c>
      <c r="K123" s="148" t="s">
        <v>113</v>
      </c>
      <c r="L123" s="148" t="s">
        <v>113</v>
      </c>
      <c r="M123" s="60" t="s">
        <v>113</v>
      </c>
      <c r="N123" s="60" t="s">
        <v>113</v>
      </c>
      <c r="O123" s="60" t="s">
        <v>113</v>
      </c>
      <c r="P123" s="60" t="s">
        <v>113</v>
      </c>
      <c r="Q123" s="59" t="s">
        <v>113</v>
      </c>
      <c r="R123" s="59" t="s">
        <v>113</v>
      </c>
      <c r="S123" s="60" t="s">
        <v>113</v>
      </c>
      <c r="T123" s="60" t="s">
        <v>113</v>
      </c>
      <c r="U123" s="60" t="s">
        <v>113</v>
      </c>
      <c r="V123" s="154" t="str">
        <f>IF(ISERR(Q123*($V$2/30)^2),"",(Q123*($V$2/30)^2))</f>
        <v/>
      </c>
      <c r="W123" s="155" t="str">
        <f>IF(ISERR(((V123/453.59)*$V$2/375)*746),"",(((V123/453.59)*$V$2/375)*746))</f>
        <v/>
      </c>
      <c r="X123" s="60" t="s">
        <v>113</v>
      </c>
      <c r="Y123" s="60" t="s">
        <v>113</v>
      </c>
      <c r="Z123" s="20" t="s">
        <v>113</v>
      </c>
      <c r="AA123" s="21" t="s">
        <v>113</v>
      </c>
      <c r="AB123" s="21"/>
      <c r="AC123" s="60" t="str">
        <f t="shared" si="1"/>
        <v/>
      </c>
    </row>
    <row r="124" spans="1:43" s="1" customFormat="1" x14ac:dyDescent="0.2">
      <c r="A124" s="152" t="s">
        <v>114</v>
      </c>
      <c r="B124" s="28" t="s">
        <v>111</v>
      </c>
      <c r="C124" s="144">
        <v>0</v>
      </c>
      <c r="D124" s="145">
        <v>41</v>
      </c>
      <c r="E124" s="146" t="s">
        <v>112</v>
      </c>
      <c r="F124" s="7" t="s">
        <v>113</v>
      </c>
      <c r="G124" s="7" t="s">
        <v>113</v>
      </c>
      <c r="H124" s="7" t="s">
        <v>113</v>
      </c>
      <c r="I124" s="7" t="s">
        <v>113</v>
      </c>
      <c r="J124" s="147" t="s">
        <v>113</v>
      </c>
      <c r="K124" s="147" t="s">
        <v>113</v>
      </c>
      <c r="L124" s="147" t="s">
        <v>113</v>
      </c>
      <c r="M124" s="7" t="s">
        <v>113</v>
      </c>
      <c r="N124" s="7" t="s">
        <v>113</v>
      </c>
      <c r="O124" s="7" t="s">
        <v>113</v>
      </c>
      <c r="P124" s="7" t="s">
        <v>113</v>
      </c>
      <c r="Q124" s="147" t="s">
        <v>113</v>
      </c>
      <c r="R124" s="147" t="s">
        <v>113</v>
      </c>
      <c r="S124" s="7" t="s">
        <v>113</v>
      </c>
      <c r="T124" s="7" t="s">
        <v>113</v>
      </c>
      <c r="U124" s="147" t="s">
        <v>113</v>
      </c>
      <c r="V124" s="147" t="str">
        <f>IF(ISERR(AVERAGE(V125:V126)),"",AVERAGE(V125:V126))</f>
        <v/>
      </c>
      <c r="W124" s="147" t="str">
        <f>IF(ISERR(AVERAGE(W125:W126)),"",AVERAGE(W125:W126))</f>
        <v/>
      </c>
      <c r="X124" s="7" t="s">
        <v>113</v>
      </c>
      <c r="Y124" s="7" t="s">
        <v>113</v>
      </c>
      <c r="Z124" s="7" t="s">
        <v>113</v>
      </c>
      <c r="AA124" s="7" t="s">
        <v>113</v>
      </c>
      <c r="AB124" s="12"/>
      <c r="AC124" s="7" t="str">
        <f t="shared" si="1"/>
        <v/>
      </c>
      <c r="AD124"/>
      <c r="AE124"/>
      <c r="AF124"/>
      <c r="AG124"/>
      <c r="AH124"/>
      <c r="AI124"/>
      <c r="AJ124"/>
      <c r="AK124"/>
      <c r="AL124"/>
      <c r="AM124"/>
      <c r="AN124"/>
      <c r="AO124"/>
      <c r="AP124"/>
      <c r="AQ124"/>
    </row>
    <row r="125" spans="1:43" x14ac:dyDescent="0.2">
      <c r="A125" s="152" t="s">
        <v>114</v>
      </c>
      <c r="B125" s="49" t="s">
        <v>111</v>
      </c>
      <c r="C125" s="26">
        <v>0</v>
      </c>
      <c r="D125" s="35"/>
      <c r="E125" s="31">
        <v>1</v>
      </c>
      <c r="F125" s="60" t="s">
        <v>113</v>
      </c>
      <c r="G125" s="60" t="s">
        <v>113</v>
      </c>
      <c r="H125" s="60" t="s">
        <v>113</v>
      </c>
      <c r="I125" s="60" t="s">
        <v>113</v>
      </c>
      <c r="J125" s="148" t="s">
        <v>113</v>
      </c>
      <c r="K125" s="148" t="s">
        <v>113</v>
      </c>
      <c r="L125" s="148" t="s">
        <v>113</v>
      </c>
      <c r="M125" s="60" t="s">
        <v>113</v>
      </c>
      <c r="N125" s="60" t="s">
        <v>113</v>
      </c>
      <c r="O125" s="60" t="s">
        <v>113</v>
      </c>
      <c r="P125" s="60" t="s">
        <v>113</v>
      </c>
      <c r="Q125" s="59" t="s">
        <v>113</v>
      </c>
      <c r="R125" s="59" t="s">
        <v>113</v>
      </c>
      <c r="S125" s="60" t="s">
        <v>113</v>
      </c>
      <c r="T125" s="60" t="s">
        <v>113</v>
      </c>
      <c r="U125" s="60" t="s">
        <v>113</v>
      </c>
      <c r="V125" s="154" t="str">
        <f>IF(ISERR(Q125*($V$2/30)^2),"",(Q125*($V$2/30)^2))</f>
        <v/>
      </c>
      <c r="W125" s="155" t="str">
        <f>IF(ISERR(((V125/453.59)*$V$2/375)*746),"",(((V125/453.59)*$V$2/375)*746))</f>
        <v/>
      </c>
      <c r="X125" s="60" t="s">
        <v>113</v>
      </c>
      <c r="Y125" s="60" t="s">
        <v>113</v>
      </c>
      <c r="Z125" s="18" t="s">
        <v>113</v>
      </c>
      <c r="AA125" s="17" t="s">
        <v>113</v>
      </c>
      <c r="AB125" s="17"/>
      <c r="AC125" s="60" t="str">
        <f t="shared" si="1"/>
        <v/>
      </c>
    </row>
    <row r="126" spans="1:43" ht="13.5" thickBot="1" x14ac:dyDescent="0.25">
      <c r="A126" s="153" t="s">
        <v>114</v>
      </c>
      <c r="B126" s="50" t="s">
        <v>111</v>
      </c>
      <c r="C126" s="27">
        <v>0</v>
      </c>
      <c r="D126" s="36"/>
      <c r="E126" s="32">
        <v>2</v>
      </c>
      <c r="F126" s="60" t="s">
        <v>113</v>
      </c>
      <c r="G126" s="60" t="s">
        <v>113</v>
      </c>
      <c r="H126" s="60" t="s">
        <v>113</v>
      </c>
      <c r="I126" s="60" t="s">
        <v>113</v>
      </c>
      <c r="J126" s="148" t="s">
        <v>113</v>
      </c>
      <c r="K126" s="148" t="s">
        <v>113</v>
      </c>
      <c r="L126" s="148" t="s">
        <v>113</v>
      </c>
      <c r="M126" s="60" t="s">
        <v>113</v>
      </c>
      <c r="N126" s="60" t="s">
        <v>113</v>
      </c>
      <c r="O126" s="60" t="s">
        <v>113</v>
      </c>
      <c r="P126" s="60" t="s">
        <v>113</v>
      </c>
      <c r="Q126" s="59" t="s">
        <v>113</v>
      </c>
      <c r="R126" s="59" t="s">
        <v>113</v>
      </c>
      <c r="S126" s="60" t="s">
        <v>113</v>
      </c>
      <c r="T126" s="60" t="s">
        <v>113</v>
      </c>
      <c r="U126" s="60" t="s">
        <v>113</v>
      </c>
      <c r="V126" s="154" t="str">
        <f>IF(ISERR(Q126*($V$2/30)^2),"",(Q126*($V$2/30)^2))</f>
        <v/>
      </c>
      <c r="W126" s="155" t="str">
        <f>IF(ISERR(((V126/453.59)*$V$2/375)*746),"",(((V126/453.59)*$V$2/375)*746))</f>
        <v/>
      </c>
      <c r="X126" s="60" t="s">
        <v>113</v>
      </c>
      <c r="Y126" s="60" t="s">
        <v>113</v>
      </c>
      <c r="Z126" s="20" t="s">
        <v>113</v>
      </c>
      <c r="AA126" s="21" t="s">
        <v>113</v>
      </c>
      <c r="AB126" s="21"/>
      <c r="AC126" s="60" t="str">
        <f t="shared" si="1"/>
        <v/>
      </c>
    </row>
    <row r="127" spans="1:43" s="1" customFormat="1" x14ac:dyDescent="0.2">
      <c r="A127" s="152" t="s">
        <v>114</v>
      </c>
      <c r="B127" s="28" t="s">
        <v>111</v>
      </c>
      <c r="C127" s="144">
        <v>0</v>
      </c>
      <c r="D127" s="145">
        <v>42</v>
      </c>
      <c r="E127" s="146" t="s">
        <v>112</v>
      </c>
      <c r="F127" s="7" t="s">
        <v>113</v>
      </c>
      <c r="G127" s="7" t="s">
        <v>113</v>
      </c>
      <c r="H127" s="7" t="s">
        <v>113</v>
      </c>
      <c r="I127" s="7" t="s">
        <v>113</v>
      </c>
      <c r="J127" s="147" t="s">
        <v>113</v>
      </c>
      <c r="K127" s="147" t="s">
        <v>113</v>
      </c>
      <c r="L127" s="147" t="s">
        <v>113</v>
      </c>
      <c r="M127" s="7" t="s">
        <v>113</v>
      </c>
      <c r="N127" s="7" t="s">
        <v>113</v>
      </c>
      <c r="O127" s="7" t="s">
        <v>113</v>
      </c>
      <c r="P127" s="7" t="s">
        <v>113</v>
      </c>
      <c r="Q127" s="147" t="s">
        <v>113</v>
      </c>
      <c r="R127" s="147" t="s">
        <v>113</v>
      </c>
      <c r="S127" s="7" t="s">
        <v>113</v>
      </c>
      <c r="T127" s="7" t="s">
        <v>113</v>
      </c>
      <c r="U127" s="147" t="s">
        <v>113</v>
      </c>
      <c r="V127" s="147" t="str">
        <f>IF(ISERR(AVERAGE(V128:V129)),"",AVERAGE(V128:V129))</f>
        <v/>
      </c>
      <c r="W127" s="147" t="str">
        <f>IF(ISERR(AVERAGE(W128:W129)),"",AVERAGE(W128:W129))</f>
        <v/>
      </c>
      <c r="X127" s="7" t="s">
        <v>113</v>
      </c>
      <c r="Y127" s="7" t="s">
        <v>113</v>
      </c>
      <c r="Z127" s="7" t="s">
        <v>113</v>
      </c>
      <c r="AA127" s="7" t="s">
        <v>113</v>
      </c>
      <c r="AB127" s="12"/>
      <c r="AC127" s="7" t="str">
        <f t="shared" si="1"/>
        <v/>
      </c>
      <c r="AD127"/>
      <c r="AE127"/>
      <c r="AF127"/>
      <c r="AG127"/>
      <c r="AH127"/>
      <c r="AI127"/>
      <c r="AJ127"/>
      <c r="AK127"/>
      <c r="AL127"/>
      <c r="AM127"/>
      <c r="AN127"/>
      <c r="AO127"/>
      <c r="AP127"/>
      <c r="AQ127"/>
    </row>
    <row r="128" spans="1:43" x14ac:dyDescent="0.2">
      <c r="A128" s="152" t="s">
        <v>114</v>
      </c>
      <c r="B128" s="49" t="s">
        <v>111</v>
      </c>
      <c r="C128" s="26">
        <v>0</v>
      </c>
      <c r="D128" s="35"/>
      <c r="E128" s="31">
        <v>1</v>
      </c>
      <c r="F128" s="60" t="s">
        <v>113</v>
      </c>
      <c r="G128" s="60" t="s">
        <v>113</v>
      </c>
      <c r="H128" s="60" t="s">
        <v>113</v>
      </c>
      <c r="I128" s="60" t="s">
        <v>113</v>
      </c>
      <c r="J128" s="148" t="s">
        <v>113</v>
      </c>
      <c r="K128" s="148" t="s">
        <v>113</v>
      </c>
      <c r="L128" s="148" t="s">
        <v>113</v>
      </c>
      <c r="M128" s="60" t="s">
        <v>113</v>
      </c>
      <c r="N128" s="60" t="s">
        <v>113</v>
      </c>
      <c r="O128" s="60" t="s">
        <v>113</v>
      </c>
      <c r="P128" s="60" t="s">
        <v>113</v>
      </c>
      <c r="Q128" s="59" t="s">
        <v>113</v>
      </c>
      <c r="R128" s="59" t="s">
        <v>113</v>
      </c>
      <c r="S128" s="60" t="s">
        <v>113</v>
      </c>
      <c r="T128" s="60" t="s">
        <v>113</v>
      </c>
      <c r="U128" s="60" t="s">
        <v>113</v>
      </c>
      <c r="V128" s="154" t="str">
        <f>IF(ISERR(Q128*($V$2/30)^2),"",(Q128*($V$2/30)^2))</f>
        <v/>
      </c>
      <c r="W128" s="155" t="str">
        <f>IF(ISERR(((V128/453.59)*$V$2/375)*746),"",(((V128/453.59)*$V$2/375)*746))</f>
        <v/>
      </c>
      <c r="X128" s="60" t="s">
        <v>113</v>
      </c>
      <c r="Y128" s="60" t="s">
        <v>113</v>
      </c>
      <c r="Z128" s="18" t="s">
        <v>113</v>
      </c>
      <c r="AA128" s="17" t="s">
        <v>113</v>
      </c>
      <c r="AB128" s="17"/>
      <c r="AC128" s="60" t="str">
        <f t="shared" si="1"/>
        <v/>
      </c>
    </row>
    <row r="129" spans="1:43" ht="13.5" thickBot="1" x14ac:dyDescent="0.25">
      <c r="A129" s="153" t="s">
        <v>114</v>
      </c>
      <c r="B129" s="50" t="s">
        <v>111</v>
      </c>
      <c r="C129" s="27">
        <v>0</v>
      </c>
      <c r="D129" s="36"/>
      <c r="E129" s="32">
        <v>2</v>
      </c>
      <c r="F129" s="60" t="s">
        <v>113</v>
      </c>
      <c r="G129" s="60" t="s">
        <v>113</v>
      </c>
      <c r="H129" s="60" t="s">
        <v>113</v>
      </c>
      <c r="I129" s="60" t="s">
        <v>113</v>
      </c>
      <c r="J129" s="148" t="s">
        <v>113</v>
      </c>
      <c r="K129" s="148" t="s">
        <v>113</v>
      </c>
      <c r="L129" s="148" t="s">
        <v>113</v>
      </c>
      <c r="M129" s="60" t="s">
        <v>113</v>
      </c>
      <c r="N129" s="60" t="s">
        <v>113</v>
      </c>
      <c r="O129" s="60" t="s">
        <v>113</v>
      </c>
      <c r="P129" s="60" t="s">
        <v>113</v>
      </c>
      <c r="Q129" s="59" t="s">
        <v>113</v>
      </c>
      <c r="R129" s="59" t="s">
        <v>113</v>
      </c>
      <c r="S129" s="60" t="s">
        <v>113</v>
      </c>
      <c r="T129" s="60" t="s">
        <v>113</v>
      </c>
      <c r="U129" s="60" t="s">
        <v>113</v>
      </c>
      <c r="V129" s="154" t="str">
        <f>IF(ISERR(Q129*($V$2/30)^2),"",(Q129*($V$2/30)^2))</f>
        <v/>
      </c>
      <c r="W129" s="155" t="str">
        <f>IF(ISERR(((V129/453.59)*$V$2/375)*746),"",(((V129/453.59)*$V$2/375)*746))</f>
        <v/>
      </c>
      <c r="X129" s="60" t="s">
        <v>113</v>
      </c>
      <c r="Y129" s="60" t="s">
        <v>113</v>
      </c>
      <c r="Z129" s="20" t="s">
        <v>113</v>
      </c>
      <c r="AA129" s="21" t="s">
        <v>113</v>
      </c>
      <c r="AB129" s="21"/>
      <c r="AC129" s="60" t="str">
        <f t="shared" si="1"/>
        <v/>
      </c>
    </row>
    <row r="130" spans="1:43" s="1" customFormat="1" x14ac:dyDescent="0.2">
      <c r="A130" s="152" t="s">
        <v>114</v>
      </c>
      <c r="B130" s="28" t="s">
        <v>111</v>
      </c>
      <c r="C130" s="144">
        <v>0</v>
      </c>
      <c r="D130" s="145">
        <v>43</v>
      </c>
      <c r="E130" s="146" t="s">
        <v>112</v>
      </c>
      <c r="F130" s="7" t="s">
        <v>113</v>
      </c>
      <c r="G130" s="7" t="s">
        <v>113</v>
      </c>
      <c r="H130" s="7" t="s">
        <v>113</v>
      </c>
      <c r="I130" s="7" t="s">
        <v>113</v>
      </c>
      <c r="J130" s="147" t="s">
        <v>113</v>
      </c>
      <c r="K130" s="147" t="s">
        <v>113</v>
      </c>
      <c r="L130" s="147" t="s">
        <v>113</v>
      </c>
      <c r="M130" s="7" t="s">
        <v>113</v>
      </c>
      <c r="N130" s="7" t="s">
        <v>113</v>
      </c>
      <c r="O130" s="7" t="s">
        <v>113</v>
      </c>
      <c r="P130" s="7" t="s">
        <v>113</v>
      </c>
      <c r="Q130" s="147" t="s">
        <v>113</v>
      </c>
      <c r="R130" s="147" t="s">
        <v>113</v>
      </c>
      <c r="S130" s="7" t="s">
        <v>113</v>
      </c>
      <c r="T130" s="7" t="s">
        <v>113</v>
      </c>
      <c r="U130" s="147" t="s">
        <v>113</v>
      </c>
      <c r="V130" s="147" t="str">
        <f>IF(ISERR(AVERAGE(V131:V132)),"",AVERAGE(V131:V132))</f>
        <v/>
      </c>
      <c r="W130" s="147" t="str">
        <f>IF(ISERR(AVERAGE(W131:W132)),"",AVERAGE(W131:W132))</f>
        <v/>
      </c>
      <c r="X130" s="7" t="s">
        <v>113</v>
      </c>
      <c r="Y130" s="7" t="s">
        <v>113</v>
      </c>
      <c r="Z130" s="7" t="s">
        <v>113</v>
      </c>
      <c r="AA130" s="7" t="s">
        <v>113</v>
      </c>
      <c r="AB130" s="12"/>
      <c r="AC130" s="7" t="str">
        <f t="shared" si="1"/>
        <v/>
      </c>
      <c r="AD130"/>
      <c r="AE130"/>
      <c r="AF130"/>
      <c r="AG130"/>
      <c r="AH130"/>
      <c r="AI130"/>
      <c r="AJ130"/>
      <c r="AK130"/>
      <c r="AL130"/>
      <c r="AM130"/>
      <c r="AN130"/>
      <c r="AO130"/>
      <c r="AP130"/>
      <c r="AQ130"/>
    </row>
    <row r="131" spans="1:43" x14ac:dyDescent="0.2">
      <c r="A131" s="152" t="s">
        <v>114</v>
      </c>
      <c r="B131" s="49" t="s">
        <v>111</v>
      </c>
      <c r="C131" s="26">
        <v>0</v>
      </c>
      <c r="D131" s="35"/>
      <c r="E131" s="31">
        <v>1</v>
      </c>
      <c r="F131" s="60" t="s">
        <v>113</v>
      </c>
      <c r="G131" s="60" t="s">
        <v>113</v>
      </c>
      <c r="H131" s="60" t="s">
        <v>113</v>
      </c>
      <c r="I131" s="60" t="s">
        <v>113</v>
      </c>
      <c r="J131" s="148" t="s">
        <v>113</v>
      </c>
      <c r="K131" s="148" t="s">
        <v>113</v>
      </c>
      <c r="L131" s="148" t="s">
        <v>113</v>
      </c>
      <c r="M131" s="60" t="s">
        <v>113</v>
      </c>
      <c r="N131" s="60" t="s">
        <v>113</v>
      </c>
      <c r="O131" s="60" t="s">
        <v>113</v>
      </c>
      <c r="P131" s="60" t="s">
        <v>113</v>
      </c>
      <c r="Q131" s="59" t="s">
        <v>113</v>
      </c>
      <c r="R131" s="59" t="s">
        <v>113</v>
      </c>
      <c r="S131" s="60" t="s">
        <v>113</v>
      </c>
      <c r="T131" s="60" t="s">
        <v>113</v>
      </c>
      <c r="U131" s="60" t="s">
        <v>113</v>
      </c>
      <c r="V131" s="154" t="str">
        <f>IF(ISERR(Q131*($V$2/30)^2),"",(Q131*($V$2/30)^2))</f>
        <v/>
      </c>
      <c r="W131" s="155" t="str">
        <f>IF(ISERR(((V131/453.59)*$V$2/375)*746),"",(((V131/453.59)*$V$2/375)*746))</f>
        <v/>
      </c>
      <c r="X131" s="60" t="s">
        <v>113</v>
      </c>
      <c r="Y131" s="60" t="s">
        <v>113</v>
      </c>
      <c r="Z131" s="18" t="s">
        <v>113</v>
      </c>
      <c r="AA131" s="17" t="s">
        <v>113</v>
      </c>
      <c r="AB131" s="17"/>
      <c r="AC131" s="60" t="str">
        <f t="shared" si="1"/>
        <v/>
      </c>
    </row>
    <row r="132" spans="1:43" ht="13.5" thickBot="1" x14ac:dyDescent="0.25">
      <c r="A132" s="153" t="s">
        <v>114</v>
      </c>
      <c r="B132" s="50" t="s">
        <v>111</v>
      </c>
      <c r="C132" s="27">
        <v>0</v>
      </c>
      <c r="D132" s="36"/>
      <c r="E132" s="32">
        <v>2</v>
      </c>
      <c r="F132" s="60" t="s">
        <v>113</v>
      </c>
      <c r="G132" s="60" t="s">
        <v>113</v>
      </c>
      <c r="H132" s="60" t="s">
        <v>113</v>
      </c>
      <c r="I132" s="60" t="s">
        <v>113</v>
      </c>
      <c r="J132" s="148" t="s">
        <v>113</v>
      </c>
      <c r="K132" s="148" t="s">
        <v>113</v>
      </c>
      <c r="L132" s="148" t="s">
        <v>113</v>
      </c>
      <c r="M132" s="60" t="s">
        <v>113</v>
      </c>
      <c r="N132" s="60" t="s">
        <v>113</v>
      </c>
      <c r="O132" s="60" t="s">
        <v>113</v>
      </c>
      <c r="P132" s="60" t="s">
        <v>113</v>
      </c>
      <c r="Q132" s="59" t="s">
        <v>113</v>
      </c>
      <c r="R132" s="59" t="s">
        <v>113</v>
      </c>
      <c r="S132" s="60" t="s">
        <v>113</v>
      </c>
      <c r="T132" s="60" t="s">
        <v>113</v>
      </c>
      <c r="U132" s="60" t="s">
        <v>113</v>
      </c>
      <c r="V132" s="154" t="str">
        <f>IF(ISERR(Q132*($V$2/30)^2),"",(Q132*($V$2/30)^2))</f>
        <v/>
      </c>
      <c r="W132" s="155" t="str">
        <f>IF(ISERR(((V132/453.59)*$V$2/375)*746),"",(((V132/453.59)*$V$2/375)*746))</f>
        <v/>
      </c>
      <c r="X132" s="60" t="s">
        <v>113</v>
      </c>
      <c r="Y132" s="60" t="s">
        <v>113</v>
      </c>
      <c r="Z132" s="20" t="s">
        <v>113</v>
      </c>
      <c r="AA132" s="21" t="s">
        <v>113</v>
      </c>
      <c r="AB132" s="21"/>
      <c r="AC132" s="60" t="str">
        <f t="shared" si="1"/>
        <v/>
      </c>
    </row>
    <row r="133" spans="1:43" s="1" customFormat="1" x14ac:dyDescent="0.2">
      <c r="A133" s="152" t="s">
        <v>114</v>
      </c>
      <c r="B133" s="28" t="s">
        <v>111</v>
      </c>
      <c r="C133" s="144">
        <v>0</v>
      </c>
      <c r="D133" s="145">
        <v>44</v>
      </c>
      <c r="E133" s="146" t="s">
        <v>112</v>
      </c>
      <c r="F133" s="7" t="s">
        <v>113</v>
      </c>
      <c r="G133" s="7" t="s">
        <v>113</v>
      </c>
      <c r="H133" s="7" t="s">
        <v>113</v>
      </c>
      <c r="I133" s="7" t="s">
        <v>113</v>
      </c>
      <c r="J133" s="147" t="s">
        <v>113</v>
      </c>
      <c r="K133" s="147" t="s">
        <v>113</v>
      </c>
      <c r="L133" s="147" t="s">
        <v>113</v>
      </c>
      <c r="M133" s="7" t="s">
        <v>113</v>
      </c>
      <c r="N133" s="7" t="s">
        <v>113</v>
      </c>
      <c r="O133" s="7" t="s">
        <v>113</v>
      </c>
      <c r="P133" s="7" t="s">
        <v>113</v>
      </c>
      <c r="Q133" s="147" t="s">
        <v>113</v>
      </c>
      <c r="R133" s="147" t="s">
        <v>113</v>
      </c>
      <c r="S133" s="7" t="s">
        <v>113</v>
      </c>
      <c r="T133" s="7" t="s">
        <v>113</v>
      </c>
      <c r="U133" s="147" t="s">
        <v>113</v>
      </c>
      <c r="V133" s="147" t="str">
        <f>IF(ISERR(AVERAGE(V134:V135)),"",AVERAGE(V134:V135))</f>
        <v/>
      </c>
      <c r="W133" s="147" t="str">
        <f>IF(ISERR(AVERAGE(W134:W135)),"",AVERAGE(W134:W135))</f>
        <v/>
      </c>
      <c r="X133" s="7" t="s">
        <v>113</v>
      </c>
      <c r="Y133" s="7" t="s">
        <v>113</v>
      </c>
      <c r="Z133" s="7" t="s">
        <v>113</v>
      </c>
      <c r="AA133" s="7" t="s">
        <v>113</v>
      </c>
      <c r="AB133" s="12"/>
      <c r="AC133" s="7" t="str">
        <f t="shared" ref="AC133:AC180" si="2">IF(ISERR(M133*0.314),"",(M133*0.314))</f>
        <v/>
      </c>
      <c r="AD133"/>
      <c r="AE133"/>
      <c r="AF133"/>
      <c r="AG133"/>
      <c r="AH133"/>
      <c r="AI133"/>
      <c r="AJ133"/>
      <c r="AK133"/>
      <c r="AL133"/>
      <c r="AM133"/>
      <c r="AN133"/>
      <c r="AO133"/>
      <c r="AP133"/>
      <c r="AQ133"/>
    </row>
    <row r="134" spans="1:43" x14ac:dyDescent="0.2">
      <c r="A134" s="152" t="s">
        <v>114</v>
      </c>
      <c r="B134" s="49" t="s">
        <v>111</v>
      </c>
      <c r="C134" s="26">
        <v>0</v>
      </c>
      <c r="D134" s="35"/>
      <c r="E134" s="31">
        <v>1</v>
      </c>
      <c r="F134" s="60" t="s">
        <v>113</v>
      </c>
      <c r="G134" s="60" t="s">
        <v>113</v>
      </c>
      <c r="H134" s="60" t="s">
        <v>113</v>
      </c>
      <c r="I134" s="60" t="s">
        <v>113</v>
      </c>
      <c r="J134" s="148" t="s">
        <v>113</v>
      </c>
      <c r="K134" s="148" t="s">
        <v>113</v>
      </c>
      <c r="L134" s="148" t="s">
        <v>113</v>
      </c>
      <c r="M134" s="60" t="s">
        <v>113</v>
      </c>
      <c r="N134" s="60" t="s">
        <v>113</v>
      </c>
      <c r="O134" s="60" t="s">
        <v>113</v>
      </c>
      <c r="P134" s="60" t="s">
        <v>113</v>
      </c>
      <c r="Q134" s="59" t="s">
        <v>113</v>
      </c>
      <c r="R134" s="59" t="s">
        <v>113</v>
      </c>
      <c r="S134" s="60" t="s">
        <v>113</v>
      </c>
      <c r="T134" s="60" t="s">
        <v>113</v>
      </c>
      <c r="U134" s="60" t="s">
        <v>113</v>
      </c>
      <c r="V134" s="154" t="str">
        <f>IF(ISERR(Q134*($V$2/30)^2),"",(Q134*($V$2/30)^2))</f>
        <v/>
      </c>
      <c r="W134" s="155" t="str">
        <f>IF(ISERR(((V134/453.59)*$V$2/375)*746),"",(((V134/453.59)*$V$2/375)*746))</f>
        <v/>
      </c>
      <c r="X134" s="60" t="s">
        <v>113</v>
      </c>
      <c r="Y134" s="60" t="s">
        <v>113</v>
      </c>
      <c r="Z134" s="18" t="s">
        <v>113</v>
      </c>
      <c r="AA134" s="17" t="s">
        <v>113</v>
      </c>
      <c r="AB134" s="17"/>
      <c r="AC134" s="60" t="str">
        <f t="shared" si="2"/>
        <v/>
      </c>
    </row>
    <row r="135" spans="1:43" ht="13.5" thickBot="1" x14ac:dyDescent="0.25">
      <c r="A135" s="153" t="s">
        <v>114</v>
      </c>
      <c r="B135" s="50" t="s">
        <v>111</v>
      </c>
      <c r="C135" s="27">
        <v>0</v>
      </c>
      <c r="D135" s="36"/>
      <c r="E135" s="32">
        <v>2</v>
      </c>
      <c r="F135" s="60" t="s">
        <v>113</v>
      </c>
      <c r="G135" s="60" t="s">
        <v>113</v>
      </c>
      <c r="H135" s="60" t="s">
        <v>113</v>
      </c>
      <c r="I135" s="60" t="s">
        <v>113</v>
      </c>
      <c r="J135" s="148" t="s">
        <v>113</v>
      </c>
      <c r="K135" s="148" t="s">
        <v>113</v>
      </c>
      <c r="L135" s="148" t="s">
        <v>113</v>
      </c>
      <c r="M135" s="60" t="s">
        <v>113</v>
      </c>
      <c r="N135" s="60" t="s">
        <v>113</v>
      </c>
      <c r="O135" s="60" t="s">
        <v>113</v>
      </c>
      <c r="P135" s="60" t="s">
        <v>113</v>
      </c>
      <c r="Q135" s="59" t="s">
        <v>113</v>
      </c>
      <c r="R135" s="59" t="s">
        <v>113</v>
      </c>
      <c r="S135" s="60" t="s">
        <v>113</v>
      </c>
      <c r="T135" s="60" t="s">
        <v>113</v>
      </c>
      <c r="U135" s="60" t="s">
        <v>113</v>
      </c>
      <c r="V135" s="154" t="str">
        <f>IF(ISERR(Q135*($V$2/30)^2),"",(Q135*($V$2/30)^2))</f>
        <v/>
      </c>
      <c r="W135" s="155" t="str">
        <f>IF(ISERR(((V135/453.59)*$V$2/375)*746),"",(((V135/453.59)*$V$2/375)*746))</f>
        <v/>
      </c>
      <c r="X135" s="60" t="s">
        <v>113</v>
      </c>
      <c r="Y135" s="60" t="s">
        <v>113</v>
      </c>
      <c r="Z135" s="20" t="s">
        <v>113</v>
      </c>
      <c r="AA135" s="21" t="s">
        <v>113</v>
      </c>
      <c r="AB135" s="21"/>
      <c r="AC135" s="60" t="str">
        <f t="shared" si="2"/>
        <v/>
      </c>
    </row>
    <row r="136" spans="1:43" s="1" customFormat="1" x14ac:dyDescent="0.2">
      <c r="A136" s="152" t="s">
        <v>114</v>
      </c>
      <c r="B136" s="28" t="s">
        <v>111</v>
      </c>
      <c r="C136" s="144">
        <v>0</v>
      </c>
      <c r="D136" s="145">
        <v>45</v>
      </c>
      <c r="E136" s="146" t="s">
        <v>112</v>
      </c>
      <c r="F136" s="7" t="s">
        <v>113</v>
      </c>
      <c r="G136" s="7" t="s">
        <v>113</v>
      </c>
      <c r="H136" s="7" t="s">
        <v>113</v>
      </c>
      <c r="I136" s="7" t="s">
        <v>113</v>
      </c>
      <c r="J136" s="147" t="s">
        <v>113</v>
      </c>
      <c r="K136" s="147" t="s">
        <v>113</v>
      </c>
      <c r="L136" s="147" t="s">
        <v>113</v>
      </c>
      <c r="M136" s="7" t="s">
        <v>113</v>
      </c>
      <c r="N136" s="7" t="s">
        <v>113</v>
      </c>
      <c r="O136" s="7" t="s">
        <v>113</v>
      </c>
      <c r="P136" s="7" t="s">
        <v>113</v>
      </c>
      <c r="Q136" s="147" t="s">
        <v>113</v>
      </c>
      <c r="R136" s="147" t="s">
        <v>113</v>
      </c>
      <c r="S136" s="7" t="s">
        <v>113</v>
      </c>
      <c r="T136" s="7" t="s">
        <v>113</v>
      </c>
      <c r="U136" s="147" t="s">
        <v>113</v>
      </c>
      <c r="V136" s="147" t="str">
        <f>IF(ISERR(AVERAGE(V137:V138)),"",AVERAGE(V137:V138))</f>
        <v/>
      </c>
      <c r="W136" s="147" t="str">
        <f>IF(ISERR(AVERAGE(W137:W138)),"",AVERAGE(W137:W138))</f>
        <v/>
      </c>
      <c r="X136" s="7" t="s">
        <v>113</v>
      </c>
      <c r="Y136" s="7" t="s">
        <v>113</v>
      </c>
      <c r="Z136" s="7" t="s">
        <v>113</v>
      </c>
      <c r="AA136" s="7" t="s">
        <v>113</v>
      </c>
      <c r="AB136" s="12"/>
      <c r="AC136" s="7" t="str">
        <f t="shared" si="2"/>
        <v/>
      </c>
      <c r="AD136"/>
      <c r="AE136"/>
      <c r="AF136"/>
      <c r="AG136"/>
      <c r="AH136"/>
      <c r="AI136"/>
      <c r="AJ136"/>
      <c r="AK136"/>
      <c r="AL136"/>
      <c r="AM136"/>
      <c r="AN136"/>
      <c r="AO136"/>
      <c r="AP136"/>
      <c r="AQ136"/>
    </row>
    <row r="137" spans="1:43" x14ac:dyDescent="0.2">
      <c r="A137" s="152" t="s">
        <v>114</v>
      </c>
      <c r="B137" s="49" t="s">
        <v>111</v>
      </c>
      <c r="C137" s="26">
        <v>0</v>
      </c>
      <c r="D137" s="35"/>
      <c r="E137" s="31">
        <v>1</v>
      </c>
      <c r="F137" s="60" t="s">
        <v>113</v>
      </c>
      <c r="G137" s="60" t="s">
        <v>113</v>
      </c>
      <c r="H137" s="60" t="s">
        <v>113</v>
      </c>
      <c r="I137" s="60" t="s">
        <v>113</v>
      </c>
      <c r="J137" s="148" t="s">
        <v>113</v>
      </c>
      <c r="K137" s="148" t="s">
        <v>113</v>
      </c>
      <c r="L137" s="148" t="s">
        <v>113</v>
      </c>
      <c r="M137" s="60" t="s">
        <v>113</v>
      </c>
      <c r="N137" s="60" t="s">
        <v>113</v>
      </c>
      <c r="O137" s="60" t="s">
        <v>113</v>
      </c>
      <c r="P137" s="60" t="s">
        <v>113</v>
      </c>
      <c r="Q137" s="59" t="s">
        <v>113</v>
      </c>
      <c r="R137" s="59" t="s">
        <v>113</v>
      </c>
      <c r="S137" s="60" t="s">
        <v>113</v>
      </c>
      <c r="T137" s="60" t="s">
        <v>113</v>
      </c>
      <c r="U137" s="60" t="s">
        <v>113</v>
      </c>
      <c r="V137" s="154" t="str">
        <f>IF(ISERR(Q137*($V$2/30)^2),"",(Q137*($V$2/30)^2))</f>
        <v/>
      </c>
      <c r="W137" s="155" t="str">
        <f>IF(ISERR(((V137/453.59)*$V$2/375)*746),"",(((V137/453.59)*$V$2/375)*746))</f>
        <v/>
      </c>
      <c r="X137" s="60" t="s">
        <v>113</v>
      </c>
      <c r="Y137" s="60" t="s">
        <v>113</v>
      </c>
      <c r="Z137" s="18" t="s">
        <v>113</v>
      </c>
      <c r="AA137" s="17" t="s">
        <v>113</v>
      </c>
      <c r="AB137" s="17"/>
      <c r="AC137" s="60" t="str">
        <f t="shared" si="2"/>
        <v/>
      </c>
    </row>
    <row r="138" spans="1:43" ht="13.5" thickBot="1" x14ac:dyDescent="0.25">
      <c r="A138" s="153" t="s">
        <v>114</v>
      </c>
      <c r="B138" s="50" t="s">
        <v>111</v>
      </c>
      <c r="C138" s="27">
        <v>0</v>
      </c>
      <c r="D138" s="36"/>
      <c r="E138" s="32">
        <v>2</v>
      </c>
      <c r="F138" s="60" t="s">
        <v>113</v>
      </c>
      <c r="G138" s="60" t="s">
        <v>113</v>
      </c>
      <c r="H138" s="60" t="s">
        <v>113</v>
      </c>
      <c r="I138" s="60" t="s">
        <v>113</v>
      </c>
      <c r="J138" s="148" t="s">
        <v>113</v>
      </c>
      <c r="K138" s="148" t="s">
        <v>113</v>
      </c>
      <c r="L138" s="148" t="s">
        <v>113</v>
      </c>
      <c r="M138" s="60" t="s">
        <v>113</v>
      </c>
      <c r="N138" s="60" t="s">
        <v>113</v>
      </c>
      <c r="O138" s="60" t="s">
        <v>113</v>
      </c>
      <c r="P138" s="60" t="s">
        <v>113</v>
      </c>
      <c r="Q138" s="59" t="s">
        <v>113</v>
      </c>
      <c r="R138" s="59" t="s">
        <v>113</v>
      </c>
      <c r="S138" s="60" t="s">
        <v>113</v>
      </c>
      <c r="T138" s="60" t="s">
        <v>113</v>
      </c>
      <c r="U138" s="60" t="s">
        <v>113</v>
      </c>
      <c r="V138" s="154" t="str">
        <f>IF(ISERR(Q138*($V$2/30)^2),"",(Q138*($V$2/30)^2))</f>
        <v/>
      </c>
      <c r="W138" s="155" t="str">
        <f>IF(ISERR(((V138/453.59)*$V$2/375)*746),"",(((V138/453.59)*$V$2/375)*746))</f>
        <v/>
      </c>
      <c r="X138" s="60" t="s">
        <v>113</v>
      </c>
      <c r="Y138" s="60" t="s">
        <v>113</v>
      </c>
      <c r="Z138" s="20" t="s">
        <v>113</v>
      </c>
      <c r="AA138" s="21" t="s">
        <v>113</v>
      </c>
      <c r="AB138" s="21"/>
      <c r="AC138" s="60" t="str">
        <f t="shared" si="2"/>
        <v/>
      </c>
    </row>
    <row r="139" spans="1:43" s="1" customFormat="1" x14ac:dyDescent="0.2">
      <c r="A139" s="152" t="s">
        <v>114</v>
      </c>
      <c r="B139" s="28" t="s">
        <v>111</v>
      </c>
      <c r="C139" s="144">
        <v>0</v>
      </c>
      <c r="D139" s="145">
        <v>46</v>
      </c>
      <c r="E139" s="146" t="s">
        <v>112</v>
      </c>
      <c r="F139" s="7" t="s">
        <v>113</v>
      </c>
      <c r="G139" s="7" t="s">
        <v>113</v>
      </c>
      <c r="H139" s="7" t="s">
        <v>113</v>
      </c>
      <c r="I139" s="7" t="s">
        <v>113</v>
      </c>
      <c r="J139" s="147" t="s">
        <v>113</v>
      </c>
      <c r="K139" s="147" t="s">
        <v>113</v>
      </c>
      <c r="L139" s="147" t="s">
        <v>113</v>
      </c>
      <c r="M139" s="7" t="s">
        <v>113</v>
      </c>
      <c r="N139" s="7" t="s">
        <v>113</v>
      </c>
      <c r="O139" s="7" t="s">
        <v>113</v>
      </c>
      <c r="P139" s="7" t="s">
        <v>113</v>
      </c>
      <c r="Q139" s="147" t="s">
        <v>113</v>
      </c>
      <c r="R139" s="147" t="s">
        <v>113</v>
      </c>
      <c r="S139" s="7" t="s">
        <v>113</v>
      </c>
      <c r="T139" s="7" t="s">
        <v>113</v>
      </c>
      <c r="U139" s="147" t="s">
        <v>113</v>
      </c>
      <c r="V139" s="147" t="str">
        <f>IF(ISERR(AVERAGE(V140:V141)),"",AVERAGE(V140:V141))</f>
        <v/>
      </c>
      <c r="W139" s="147" t="str">
        <f>IF(ISERR(AVERAGE(W140:W141)),"",AVERAGE(W140:W141))</f>
        <v/>
      </c>
      <c r="X139" s="7" t="s">
        <v>113</v>
      </c>
      <c r="Y139" s="7" t="s">
        <v>113</v>
      </c>
      <c r="Z139" s="7" t="s">
        <v>113</v>
      </c>
      <c r="AA139" s="7" t="s">
        <v>113</v>
      </c>
      <c r="AB139" s="12"/>
      <c r="AC139" s="7" t="str">
        <f t="shared" si="2"/>
        <v/>
      </c>
      <c r="AD139"/>
      <c r="AE139"/>
      <c r="AF139"/>
      <c r="AG139"/>
      <c r="AH139"/>
      <c r="AI139"/>
      <c r="AJ139"/>
      <c r="AK139"/>
      <c r="AL139"/>
      <c r="AM139"/>
      <c r="AN139"/>
      <c r="AO139"/>
      <c r="AP139"/>
      <c r="AQ139"/>
    </row>
    <row r="140" spans="1:43" x14ac:dyDescent="0.2">
      <c r="A140" s="152" t="s">
        <v>114</v>
      </c>
      <c r="B140" s="49" t="s">
        <v>111</v>
      </c>
      <c r="C140" s="26">
        <v>0</v>
      </c>
      <c r="D140" s="35"/>
      <c r="E140" s="31">
        <v>1</v>
      </c>
      <c r="F140" s="60" t="s">
        <v>113</v>
      </c>
      <c r="G140" s="60" t="s">
        <v>113</v>
      </c>
      <c r="H140" s="60" t="s">
        <v>113</v>
      </c>
      <c r="I140" s="60" t="s">
        <v>113</v>
      </c>
      <c r="J140" s="148" t="s">
        <v>113</v>
      </c>
      <c r="K140" s="148" t="s">
        <v>113</v>
      </c>
      <c r="L140" s="148" t="s">
        <v>113</v>
      </c>
      <c r="M140" s="60" t="s">
        <v>113</v>
      </c>
      <c r="N140" s="60" t="s">
        <v>113</v>
      </c>
      <c r="O140" s="60" t="s">
        <v>113</v>
      </c>
      <c r="P140" s="60" t="s">
        <v>113</v>
      </c>
      <c r="Q140" s="59" t="s">
        <v>113</v>
      </c>
      <c r="R140" s="59" t="s">
        <v>113</v>
      </c>
      <c r="S140" s="60" t="s">
        <v>113</v>
      </c>
      <c r="T140" s="60" t="s">
        <v>113</v>
      </c>
      <c r="U140" s="60" t="s">
        <v>113</v>
      </c>
      <c r="V140" s="154" t="str">
        <f>IF(ISERR(Q140*($V$2/30)^2),"",(Q140*($V$2/30)^2))</f>
        <v/>
      </c>
      <c r="W140" s="155" t="str">
        <f>IF(ISERR(((V140/453.59)*$V$2/375)*746),"",(((V140/453.59)*$V$2/375)*746))</f>
        <v/>
      </c>
      <c r="X140" s="60" t="s">
        <v>113</v>
      </c>
      <c r="Y140" s="60" t="s">
        <v>113</v>
      </c>
      <c r="Z140" s="18" t="s">
        <v>113</v>
      </c>
      <c r="AA140" s="17" t="s">
        <v>113</v>
      </c>
      <c r="AB140" s="17"/>
      <c r="AC140" s="60" t="str">
        <f t="shared" si="2"/>
        <v/>
      </c>
    </row>
    <row r="141" spans="1:43" ht="13.5" thickBot="1" x14ac:dyDescent="0.25">
      <c r="A141" s="153" t="s">
        <v>114</v>
      </c>
      <c r="B141" s="50" t="s">
        <v>111</v>
      </c>
      <c r="C141" s="27">
        <v>0</v>
      </c>
      <c r="D141" s="36"/>
      <c r="E141" s="32">
        <v>2</v>
      </c>
      <c r="F141" s="60" t="s">
        <v>113</v>
      </c>
      <c r="G141" s="60" t="s">
        <v>113</v>
      </c>
      <c r="H141" s="60" t="s">
        <v>113</v>
      </c>
      <c r="I141" s="60" t="s">
        <v>113</v>
      </c>
      <c r="J141" s="148" t="s">
        <v>113</v>
      </c>
      <c r="K141" s="148" t="s">
        <v>113</v>
      </c>
      <c r="L141" s="148" t="s">
        <v>113</v>
      </c>
      <c r="M141" s="60" t="s">
        <v>113</v>
      </c>
      <c r="N141" s="60" t="s">
        <v>113</v>
      </c>
      <c r="O141" s="60" t="s">
        <v>113</v>
      </c>
      <c r="P141" s="60" t="s">
        <v>113</v>
      </c>
      <c r="Q141" s="59" t="s">
        <v>113</v>
      </c>
      <c r="R141" s="59" t="s">
        <v>113</v>
      </c>
      <c r="S141" s="60" t="s">
        <v>113</v>
      </c>
      <c r="T141" s="60" t="s">
        <v>113</v>
      </c>
      <c r="U141" s="60" t="s">
        <v>113</v>
      </c>
      <c r="V141" s="154" t="str">
        <f>IF(ISERR(Q141*($V$2/30)^2),"",(Q141*($V$2/30)^2))</f>
        <v/>
      </c>
      <c r="W141" s="155" t="str">
        <f>IF(ISERR(((V141/453.59)*$V$2/375)*746),"",(((V141/453.59)*$V$2/375)*746))</f>
        <v/>
      </c>
      <c r="X141" s="60" t="s">
        <v>113</v>
      </c>
      <c r="Y141" s="60" t="s">
        <v>113</v>
      </c>
      <c r="Z141" s="20" t="s">
        <v>113</v>
      </c>
      <c r="AA141" s="21" t="s">
        <v>113</v>
      </c>
      <c r="AB141" s="21"/>
      <c r="AC141" s="60" t="str">
        <f t="shared" si="2"/>
        <v/>
      </c>
    </row>
    <row r="142" spans="1:43" s="1" customFormat="1" x14ac:dyDescent="0.2">
      <c r="A142" s="152" t="s">
        <v>114</v>
      </c>
      <c r="B142" s="28" t="s">
        <v>111</v>
      </c>
      <c r="C142" s="144">
        <v>0</v>
      </c>
      <c r="D142" s="145">
        <v>47</v>
      </c>
      <c r="E142" s="146" t="s">
        <v>112</v>
      </c>
      <c r="F142" s="7" t="s">
        <v>113</v>
      </c>
      <c r="G142" s="7" t="s">
        <v>113</v>
      </c>
      <c r="H142" s="7" t="s">
        <v>113</v>
      </c>
      <c r="I142" s="7" t="s">
        <v>113</v>
      </c>
      <c r="J142" s="147" t="s">
        <v>113</v>
      </c>
      <c r="K142" s="147" t="s">
        <v>113</v>
      </c>
      <c r="L142" s="147" t="s">
        <v>113</v>
      </c>
      <c r="M142" s="7" t="s">
        <v>113</v>
      </c>
      <c r="N142" s="7" t="s">
        <v>113</v>
      </c>
      <c r="O142" s="7" t="s">
        <v>113</v>
      </c>
      <c r="P142" s="7" t="s">
        <v>113</v>
      </c>
      <c r="Q142" s="147" t="s">
        <v>113</v>
      </c>
      <c r="R142" s="147" t="s">
        <v>113</v>
      </c>
      <c r="S142" s="7" t="s">
        <v>113</v>
      </c>
      <c r="T142" s="7" t="s">
        <v>113</v>
      </c>
      <c r="U142" s="147" t="s">
        <v>113</v>
      </c>
      <c r="V142" s="147" t="str">
        <f>IF(ISERR(AVERAGE(V143:V144)),"",AVERAGE(V143:V144))</f>
        <v/>
      </c>
      <c r="W142" s="147" t="str">
        <f>IF(ISERR(AVERAGE(W143:W144)),"",AVERAGE(W143:W144))</f>
        <v/>
      </c>
      <c r="X142" s="7" t="s">
        <v>113</v>
      </c>
      <c r="Y142" s="7" t="s">
        <v>113</v>
      </c>
      <c r="Z142" s="7" t="s">
        <v>113</v>
      </c>
      <c r="AA142" s="7" t="s">
        <v>113</v>
      </c>
      <c r="AB142" s="12"/>
      <c r="AC142" s="7" t="str">
        <f t="shared" si="2"/>
        <v/>
      </c>
      <c r="AD142"/>
      <c r="AE142"/>
      <c r="AF142"/>
      <c r="AG142"/>
      <c r="AH142"/>
      <c r="AI142"/>
      <c r="AJ142"/>
      <c r="AK142"/>
      <c r="AL142"/>
      <c r="AM142"/>
      <c r="AN142"/>
      <c r="AO142"/>
      <c r="AP142"/>
      <c r="AQ142"/>
    </row>
    <row r="143" spans="1:43" x14ac:dyDescent="0.2">
      <c r="A143" s="152" t="s">
        <v>114</v>
      </c>
      <c r="B143" s="49" t="s">
        <v>111</v>
      </c>
      <c r="C143" s="26">
        <v>0</v>
      </c>
      <c r="D143" s="35"/>
      <c r="E143" s="31">
        <v>1</v>
      </c>
      <c r="F143" s="60" t="s">
        <v>113</v>
      </c>
      <c r="G143" s="60" t="s">
        <v>113</v>
      </c>
      <c r="H143" s="60" t="s">
        <v>113</v>
      </c>
      <c r="I143" s="60" t="s">
        <v>113</v>
      </c>
      <c r="J143" s="148" t="s">
        <v>113</v>
      </c>
      <c r="K143" s="148" t="s">
        <v>113</v>
      </c>
      <c r="L143" s="148" t="s">
        <v>113</v>
      </c>
      <c r="M143" s="60" t="s">
        <v>113</v>
      </c>
      <c r="N143" s="60" t="s">
        <v>113</v>
      </c>
      <c r="O143" s="60" t="s">
        <v>113</v>
      </c>
      <c r="P143" s="60" t="s">
        <v>113</v>
      </c>
      <c r="Q143" s="59" t="s">
        <v>113</v>
      </c>
      <c r="R143" s="59" t="s">
        <v>113</v>
      </c>
      <c r="S143" s="60" t="s">
        <v>113</v>
      </c>
      <c r="T143" s="60" t="s">
        <v>113</v>
      </c>
      <c r="U143" s="60" t="s">
        <v>113</v>
      </c>
      <c r="V143" s="154" t="str">
        <f>IF(ISERR(Q143*($V$2/30)^2),"",(Q143*($V$2/30)^2))</f>
        <v/>
      </c>
      <c r="W143" s="155" t="str">
        <f>IF(ISERR(((V143/453.59)*$V$2/375)*746),"",(((V143/453.59)*$V$2/375)*746))</f>
        <v/>
      </c>
      <c r="X143" s="60" t="s">
        <v>113</v>
      </c>
      <c r="Y143" s="60" t="s">
        <v>113</v>
      </c>
      <c r="Z143" s="18" t="s">
        <v>113</v>
      </c>
      <c r="AA143" s="17" t="s">
        <v>113</v>
      </c>
      <c r="AB143" s="17"/>
      <c r="AC143" s="60" t="str">
        <f t="shared" si="2"/>
        <v/>
      </c>
    </row>
    <row r="144" spans="1:43" ht="13.5" thickBot="1" x14ac:dyDescent="0.25">
      <c r="A144" s="153" t="s">
        <v>114</v>
      </c>
      <c r="B144" s="50" t="s">
        <v>111</v>
      </c>
      <c r="C144" s="27">
        <v>0</v>
      </c>
      <c r="D144" s="36"/>
      <c r="E144" s="32">
        <v>2</v>
      </c>
      <c r="F144" s="60" t="s">
        <v>113</v>
      </c>
      <c r="G144" s="60" t="s">
        <v>113</v>
      </c>
      <c r="H144" s="60" t="s">
        <v>113</v>
      </c>
      <c r="I144" s="60" t="s">
        <v>113</v>
      </c>
      <c r="J144" s="148" t="s">
        <v>113</v>
      </c>
      <c r="K144" s="148" t="s">
        <v>113</v>
      </c>
      <c r="L144" s="148" t="s">
        <v>113</v>
      </c>
      <c r="M144" s="60" t="s">
        <v>113</v>
      </c>
      <c r="N144" s="60" t="s">
        <v>113</v>
      </c>
      <c r="O144" s="60" t="s">
        <v>113</v>
      </c>
      <c r="P144" s="60" t="s">
        <v>113</v>
      </c>
      <c r="Q144" s="59" t="s">
        <v>113</v>
      </c>
      <c r="R144" s="59" t="s">
        <v>113</v>
      </c>
      <c r="S144" s="60" t="s">
        <v>113</v>
      </c>
      <c r="T144" s="60" t="s">
        <v>113</v>
      </c>
      <c r="U144" s="60" t="s">
        <v>113</v>
      </c>
      <c r="V144" s="154" t="str">
        <f>IF(ISERR(Q144*($V$2/30)^2),"",(Q144*($V$2/30)^2))</f>
        <v/>
      </c>
      <c r="W144" s="155" t="str">
        <f>IF(ISERR(((V144/453.59)*$V$2/375)*746),"",(((V144/453.59)*$V$2/375)*746))</f>
        <v/>
      </c>
      <c r="X144" s="60" t="s">
        <v>113</v>
      </c>
      <c r="Y144" s="60" t="s">
        <v>113</v>
      </c>
      <c r="Z144" s="20" t="s">
        <v>113</v>
      </c>
      <c r="AA144" s="21" t="s">
        <v>113</v>
      </c>
      <c r="AB144" s="21"/>
      <c r="AC144" s="60" t="str">
        <f t="shared" si="2"/>
        <v/>
      </c>
    </row>
    <row r="145" spans="1:43" s="1" customFormat="1" x14ac:dyDescent="0.2">
      <c r="A145" s="152" t="s">
        <v>114</v>
      </c>
      <c r="B145" s="28" t="s">
        <v>111</v>
      </c>
      <c r="C145" s="144">
        <v>0</v>
      </c>
      <c r="D145" s="145">
        <v>48</v>
      </c>
      <c r="E145" s="146" t="s">
        <v>112</v>
      </c>
      <c r="F145" s="7" t="s">
        <v>113</v>
      </c>
      <c r="G145" s="7" t="s">
        <v>113</v>
      </c>
      <c r="H145" s="7" t="s">
        <v>113</v>
      </c>
      <c r="I145" s="7" t="s">
        <v>113</v>
      </c>
      <c r="J145" s="147" t="s">
        <v>113</v>
      </c>
      <c r="K145" s="147" t="s">
        <v>113</v>
      </c>
      <c r="L145" s="147" t="s">
        <v>113</v>
      </c>
      <c r="M145" s="7" t="s">
        <v>113</v>
      </c>
      <c r="N145" s="7" t="s">
        <v>113</v>
      </c>
      <c r="O145" s="7" t="s">
        <v>113</v>
      </c>
      <c r="P145" s="7" t="s">
        <v>113</v>
      </c>
      <c r="Q145" s="147" t="s">
        <v>113</v>
      </c>
      <c r="R145" s="147" t="s">
        <v>113</v>
      </c>
      <c r="S145" s="7" t="s">
        <v>113</v>
      </c>
      <c r="T145" s="7" t="s">
        <v>113</v>
      </c>
      <c r="U145" s="147" t="s">
        <v>113</v>
      </c>
      <c r="V145" s="147" t="str">
        <f>IF(ISERR(AVERAGE(V146:V147)),"",AVERAGE(V146:V147))</f>
        <v/>
      </c>
      <c r="W145" s="147" t="str">
        <f>IF(ISERR(AVERAGE(W146:W147)),"",AVERAGE(W146:W147))</f>
        <v/>
      </c>
      <c r="X145" s="7" t="s">
        <v>113</v>
      </c>
      <c r="Y145" s="7" t="s">
        <v>113</v>
      </c>
      <c r="Z145" s="7" t="s">
        <v>113</v>
      </c>
      <c r="AA145" s="7" t="s">
        <v>113</v>
      </c>
      <c r="AB145" s="12"/>
      <c r="AC145" s="7" t="str">
        <f t="shared" si="2"/>
        <v/>
      </c>
      <c r="AD145"/>
      <c r="AE145"/>
      <c r="AF145"/>
      <c r="AG145"/>
      <c r="AH145"/>
      <c r="AI145"/>
      <c r="AJ145"/>
      <c r="AK145"/>
      <c r="AL145"/>
      <c r="AM145"/>
      <c r="AN145"/>
      <c r="AO145"/>
      <c r="AP145"/>
      <c r="AQ145"/>
    </row>
    <row r="146" spans="1:43" x14ac:dyDescent="0.2">
      <c r="A146" s="152" t="s">
        <v>114</v>
      </c>
      <c r="B146" s="49" t="s">
        <v>111</v>
      </c>
      <c r="C146" s="26">
        <v>0</v>
      </c>
      <c r="D146" s="35"/>
      <c r="E146" s="31">
        <v>1</v>
      </c>
      <c r="F146" s="60" t="s">
        <v>113</v>
      </c>
      <c r="G146" s="60" t="s">
        <v>113</v>
      </c>
      <c r="H146" s="60" t="s">
        <v>113</v>
      </c>
      <c r="I146" s="60" t="s">
        <v>113</v>
      </c>
      <c r="J146" s="148" t="s">
        <v>113</v>
      </c>
      <c r="K146" s="148" t="s">
        <v>113</v>
      </c>
      <c r="L146" s="148" t="s">
        <v>113</v>
      </c>
      <c r="M146" s="60" t="s">
        <v>113</v>
      </c>
      <c r="N146" s="60" t="s">
        <v>113</v>
      </c>
      <c r="O146" s="60" t="s">
        <v>113</v>
      </c>
      <c r="P146" s="60" t="s">
        <v>113</v>
      </c>
      <c r="Q146" s="59" t="s">
        <v>113</v>
      </c>
      <c r="R146" s="59" t="s">
        <v>113</v>
      </c>
      <c r="S146" s="60" t="s">
        <v>113</v>
      </c>
      <c r="T146" s="60" t="s">
        <v>113</v>
      </c>
      <c r="U146" s="60" t="s">
        <v>113</v>
      </c>
      <c r="V146" s="154" t="str">
        <f>IF(ISERR(Q146*($V$2/30)^2),"",(Q146*($V$2/30)^2))</f>
        <v/>
      </c>
      <c r="W146" s="155" t="str">
        <f>IF(ISERR(((V146/453.59)*$V$2/375)*746),"",(((V146/453.59)*$V$2/375)*746))</f>
        <v/>
      </c>
      <c r="X146" s="60" t="s">
        <v>113</v>
      </c>
      <c r="Y146" s="60" t="s">
        <v>113</v>
      </c>
      <c r="Z146" s="18" t="s">
        <v>113</v>
      </c>
      <c r="AA146" s="17" t="s">
        <v>113</v>
      </c>
      <c r="AB146" s="17"/>
      <c r="AC146" s="60" t="str">
        <f t="shared" si="2"/>
        <v/>
      </c>
    </row>
    <row r="147" spans="1:43" ht="13.5" thickBot="1" x14ac:dyDescent="0.25">
      <c r="A147" s="153" t="s">
        <v>114</v>
      </c>
      <c r="B147" s="50" t="s">
        <v>111</v>
      </c>
      <c r="C147" s="27">
        <v>0</v>
      </c>
      <c r="D147" s="36"/>
      <c r="E147" s="32">
        <v>2</v>
      </c>
      <c r="F147" s="60" t="s">
        <v>113</v>
      </c>
      <c r="G147" s="60" t="s">
        <v>113</v>
      </c>
      <c r="H147" s="60" t="s">
        <v>113</v>
      </c>
      <c r="I147" s="60" t="s">
        <v>113</v>
      </c>
      <c r="J147" s="148" t="s">
        <v>113</v>
      </c>
      <c r="K147" s="148" t="s">
        <v>113</v>
      </c>
      <c r="L147" s="148" t="s">
        <v>113</v>
      </c>
      <c r="M147" s="60" t="s">
        <v>113</v>
      </c>
      <c r="N147" s="60" t="s">
        <v>113</v>
      </c>
      <c r="O147" s="60" t="s">
        <v>113</v>
      </c>
      <c r="P147" s="60" t="s">
        <v>113</v>
      </c>
      <c r="Q147" s="59" t="s">
        <v>113</v>
      </c>
      <c r="R147" s="59" t="s">
        <v>113</v>
      </c>
      <c r="S147" s="60" t="s">
        <v>113</v>
      </c>
      <c r="T147" s="60" t="s">
        <v>113</v>
      </c>
      <c r="U147" s="60" t="s">
        <v>113</v>
      </c>
      <c r="V147" s="154" t="str">
        <f>IF(ISERR(Q147*($V$2/30)^2),"",(Q147*($V$2/30)^2))</f>
        <v/>
      </c>
      <c r="W147" s="155" t="str">
        <f>IF(ISERR(((V147/453.59)*$V$2/375)*746),"",(((V147/453.59)*$V$2/375)*746))</f>
        <v/>
      </c>
      <c r="X147" s="60" t="s">
        <v>113</v>
      </c>
      <c r="Y147" s="60" t="s">
        <v>113</v>
      </c>
      <c r="Z147" s="20" t="s">
        <v>113</v>
      </c>
      <c r="AA147" s="21" t="s">
        <v>113</v>
      </c>
      <c r="AB147" s="21"/>
      <c r="AC147" s="60" t="str">
        <f t="shared" si="2"/>
        <v/>
      </c>
    </row>
    <row r="148" spans="1:43" s="1" customFormat="1" x14ac:dyDescent="0.2">
      <c r="A148" s="152" t="s">
        <v>114</v>
      </c>
      <c r="B148" s="28" t="s">
        <v>111</v>
      </c>
      <c r="C148" s="144">
        <v>0</v>
      </c>
      <c r="D148" s="145">
        <v>49</v>
      </c>
      <c r="E148" s="146" t="s">
        <v>112</v>
      </c>
      <c r="F148" s="7" t="s">
        <v>113</v>
      </c>
      <c r="G148" s="7" t="s">
        <v>113</v>
      </c>
      <c r="H148" s="7" t="s">
        <v>113</v>
      </c>
      <c r="I148" s="7" t="s">
        <v>113</v>
      </c>
      <c r="J148" s="147" t="s">
        <v>113</v>
      </c>
      <c r="K148" s="147" t="s">
        <v>113</v>
      </c>
      <c r="L148" s="147" t="s">
        <v>113</v>
      </c>
      <c r="M148" s="7" t="s">
        <v>113</v>
      </c>
      <c r="N148" s="7" t="s">
        <v>113</v>
      </c>
      <c r="O148" s="7" t="s">
        <v>113</v>
      </c>
      <c r="P148" s="7" t="s">
        <v>113</v>
      </c>
      <c r="Q148" s="147" t="s">
        <v>113</v>
      </c>
      <c r="R148" s="147" t="s">
        <v>113</v>
      </c>
      <c r="S148" s="7" t="s">
        <v>113</v>
      </c>
      <c r="T148" s="7" t="s">
        <v>113</v>
      </c>
      <c r="U148" s="147" t="s">
        <v>113</v>
      </c>
      <c r="V148" s="147" t="str">
        <f>IF(ISERR(AVERAGE(V149:V150)),"",AVERAGE(V149:V150))</f>
        <v/>
      </c>
      <c r="W148" s="147" t="str">
        <f>IF(ISERR(AVERAGE(W149:W150)),"",AVERAGE(W149:W150))</f>
        <v/>
      </c>
      <c r="X148" s="7" t="s">
        <v>113</v>
      </c>
      <c r="Y148" s="7" t="s">
        <v>113</v>
      </c>
      <c r="Z148" s="7" t="s">
        <v>113</v>
      </c>
      <c r="AA148" s="7" t="s">
        <v>113</v>
      </c>
      <c r="AB148" s="12"/>
      <c r="AC148" s="7" t="str">
        <f t="shared" si="2"/>
        <v/>
      </c>
      <c r="AD148"/>
      <c r="AE148"/>
      <c r="AF148"/>
      <c r="AG148"/>
      <c r="AH148"/>
      <c r="AI148"/>
      <c r="AJ148"/>
      <c r="AK148"/>
      <c r="AL148"/>
      <c r="AM148"/>
      <c r="AN148"/>
      <c r="AO148"/>
      <c r="AP148"/>
      <c r="AQ148"/>
    </row>
    <row r="149" spans="1:43" x14ac:dyDescent="0.2">
      <c r="A149" s="152" t="s">
        <v>114</v>
      </c>
      <c r="B149" s="49" t="s">
        <v>111</v>
      </c>
      <c r="C149" s="26">
        <v>0</v>
      </c>
      <c r="D149" s="35"/>
      <c r="E149" s="31">
        <v>1</v>
      </c>
      <c r="F149" s="60" t="s">
        <v>113</v>
      </c>
      <c r="G149" s="60" t="s">
        <v>113</v>
      </c>
      <c r="H149" s="60" t="s">
        <v>113</v>
      </c>
      <c r="I149" s="60" t="s">
        <v>113</v>
      </c>
      <c r="J149" s="148" t="s">
        <v>113</v>
      </c>
      <c r="K149" s="148" t="s">
        <v>113</v>
      </c>
      <c r="L149" s="148" t="s">
        <v>113</v>
      </c>
      <c r="M149" s="60" t="s">
        <v>113</v>
      </c>
      <c r="N149" s="60" t="s">
        <v>113</v>
      </c>
      <c r="O149" s="60" t="s">
        <v>113</v>
      </c>
      <c r="P149" s="60" t="s">
        <v>113</v>
      </c>
      <c r="Q149" s="59" t="s">
        <v>113</v>
      </c>
      <c r="R149" s="59" t="s">
        <v>113</v>
      </c>
      <c r="S149" s="60" t="s">
        <v>113</v>
      </c>
      <c r="T149" s="60" t="s">
        <v>113</v>
      </c>
      <c r="U149" s="60" t="s">
        <v>113</v>
      </c>
      <c r="V149" s="154" t="str">
        <f>IF(ISERR(Q149*($V$2/30)^2),"",(Q149*($V$2/30)^2))</f>
        <v/>
      </c>
      <c r="W149" s="155" t="str">
        <f>IF(ISERR(((V149/453.59)*$V$2/375)*746),"",(((V149/453.59)*$V$2/375)*746))</f>
        <v/>
      </c>
      <c r="X149" s="60" t="s">
        <v>113</v>
      </c>
      <c r="Y149" s="60" t="s">
        <v>113</v>
      </c>
      <c r="Z149" s="18" t="s">
        <v>113</v>
      </c>
      <c r="AA149" s="17" t="s">
        <v>113</v>
      </c>
      <c r="AB149" s="17"/>
      <c r="AC149" s="60" t="str">
        <f t="shared" si="2"/>
        <v/>
      </c>
    </row>
    <row r="150" spans="1:43" ht="13.5" thickBot="1" x14ac:dyDescent="0.25">
      <c r="A150" s="153" t="s">
        <v>114</v>
      </c>
      <c r="B150" s="50" t="s">
        <v>111</v>
      </c>
      <c r="C150" s="27">
        <v>0</v>
      </c>
      <c r="D150" s="36"/>
      <c r="E150" s="32">
        <v>2</v>
      </c>
      <c r="F150" s="60" t="s">
        <v>113</v>
      </c>
      <c r="G150" s="60" t="s">
        <v>113</v>
      </c>
      <c r="H150" s="60" t="s">
        <v>113</v>
      </c>
      <c r="I150" s="60" t="s">
        <v>113</v>
      </c>
      <c r="J150" s="148" t="s">
        <v>113</v>
      </c>
      <c r="K150" s="148" t="s">
        <v>113</v>
      </c>
      <c r="L150" s="148" t="s">
        <v>113</v>
      </c>
      <c r="M150" s="60" t="s">
        <v>113</v>
      </c>
      <c r="N150" s="60" t="s">
        <v>113</v>
      </c>
      <c r="O150" s="60" t="s">
        <v>113</v>
      </c>
      <c r="P150" s="60" t="s">
        <v>113</v>
      </c>
      <c r="Q150" s="59" t="s">
        <v>113</v>
      </c>
      <c r="R150" s="59" t="s">
        <v>113</v>
      </c>
      <c r="S150" s="60" t="s">
        <v>113</v>
      </c>
      <c r="T150" s="60" t="s">
        <v>113</v>
      </c>
      <c r="U150" s="60" t="s">
        <v>113</v>
      </c>
      <c r="V150" s="154" t="str">
        <f>IF(ISERR(Q150*($V$2/30)^2),"",(Q150*($V$2/30)^2))</f>
        <v/>
      </c>
      <c r="W150" s="155" t="str">
        <f>IF(ISERR(((V150/453.59)*$V$2/375)*746),"",(((V150/453.59)*$V$2/375)*746))</f>
        <v/>
      </c>
      <c r="X150" s="60" t="s">
        <v>113</v>
      </c>
      <c r="Y150" s="60" t="s">
        <v>113</v>
      </c>
      <c r="Z150" s="20" t="s">
        <v>113</v>
      </c>
      <c r="AA150" s="21" t="s">
        <v>113</v>
      </c>
      <c r="AB150" s="21"/>
      <c r="AC150" s="60" t="str">
        <f t="shared" si="2"/>
        <v/>
      </c>
    </row>
    <row r="151" spans="1:43" s="1" customFormat="1" x14ac:dyDescent="0.2">
      <c r="A151" s="152" t="s">
        <v>114</v>
      </c>
      <c r="B151" s="28" t="s">
        <v>111</v>
      </c>
      <c r="C151" s="144">
        <v>0</v>
      </c>
      <c r="D151" s="145">
        <v>50</v>
      </c>
      <c r="E151" s="146" t="s">
        <v>112</v>
      </c>
      <c r="F151" s="7" t="s">
        <v>113</v>
      </c>
      <c r="G151" s="7" t="s">
        <v>113</v>
      </c>
      <c r="H151" s="7" t="s">
        <v>113</v>
      </c>
      <c r="I151" s="7" t="s">
        <v>113</v>
      </c>
      <c r="J151" s="147" t="s">
        <v>113</v>
      </c>
      <c r="K151" s="147" t="s">
        <v>113</v>
      </c>
      <c r="L151" s="147" t="s">
        <v>113</v>
      </c>
      <c r="M151" s="7" t="s">
        <v>113</v>
      </c>
      <c r="N151" s="7" t="s">
        <v>113</v>
      </c>
      <c r="O151" s="7" t="s">
        <v>113</v>
      </c>
      <c r="P151" s="7" t="s">
        <v>113</v>
      </c>
      <c r="Q151" s="147" t="s">
        <v>113</v>
      </c>
      <c r="R151" s="147" t="s">
        <v>113</v>
      </c>
      <c r="S151" s="7" t="s">
        <v>113</v>
      </c>
      <c r="T151" s="7" t="s">
        <v>113</v>
      </c>
      <c r="U151" s="147" t="s">
        <v>113</v>
      </c>
      <c r="V151" s="147" t="str">
        <f>IF(ISERR(AVERAGE(V152:V153)),"",AVERAGE(V152:V153))</f>
        <v/>
      </c>
      <c r="W151" s="147" t="str">
        <f>IF(ISERR(AVERAGE(W152:W153)),"",AVERAGE(W152:W153))</f>
        <v/>
      </c>
      <c r="X151" s="7" t="s">
        <v>113</v>
      </c>
      <c r="Y151" s="7" t="s">
        <v>113</v>
      </c>
      <c r="Z151" s="7" t="s">
        <v>113</v>
      </c>
      <c r="AA151" s="7" t="s">
        <v>113</v>
      </c>
      <c r="AB151" s="12"/>
      <c r="AC151" s="7" t="str">
        <f t="shared" si="2"/>
        <v/>
      </c>
      <c r="AD151"/>
      <c r="AE151"/>
      <c r="AF151"/>
      <c r="AG151"/>
      <c r="AH151"/>
      <c r="AI151"/>
      <c r="AJ151"/>
      <c r="AK151"/>
      <c r="AL151"/>
      <c r="AM151"/>
      <c r="AN151"/>
      <c r="AO151"/>
      <c r="AP151"/>
      <c r="AQ151"/>
    </row>
    <row r="152" spans="1:43" x14ac:dyDescent="0.2">
      <c r="A152" s="152" t="s">
        <v>114</v>
      </c>
      <c r="B152" s="49" t="s">
        <v>111</v>
      </c>
      <c r="C152" s="26">
        <v>0</v>
      </c>
      <c r="D152" s="35"/>
      <c r="E152" s="31">
        <v>1</v>
      </c>
      <c r="F152" s="60" t="s">
        <v>113</v>
      </c>
      <c r="G152" s="60" t="s">
        <v>113</v>
      </c>
      <c r="H152" s="60" t="s">
        <v>113</v>
      </c>
      <c r="I152" s="60" t="s">
        <v>113</v>
      </c>
      <c r="J152" s="148" t="s">
        <v>113</v>
      </c>
      <c r="K152" s="148" t="s">
        <v>113</v>
      </c>
      <c r="L152" s="148" t="s">
        <v>113</v>
      </c>
      <c r="M152" s="60" t="s">
        <v>113</v>
      </c>
      <c r="N152" s="60" t="s">
        <v>113</v>
      </c>
      <c r="O152" s="60" t="s">
        <v>113</v>
      </c>
      <c r="P152" s="60" t="s">
        <v>113</v>
      </c>
      <c r="Q152" s="59" t="s">
        <v>113</v>
      </c>
      <c r="R152" s="59" t="s">
        <v>113</v>
      </c>
      <c r="S152" s="60" t="s">
        <v>113</v>
      </c>
      <c r="T152" s="60" t="s">
        <v>113</v>
      </c>
      <c r="U152" s="60" t="s">
        <v>113</v>
      </c>
      <c r="V152" s="154" t="str">
        <f>IF(ISERR(Q152*($V$2/30)^2),"",(Q152*($V$2/30)^2))</f>
        <v/>
      </c>
      <c r="W152" s="155" t="str">
        <f>IF(ISERR(((V152/453.59)*$V$2/375)*746),"",(((V152/453.59)*$V$2/375)*746))</f>
        <v/>
      </c>
      <c r="X152" s="60" t="s">
        <v>113</v>
      </c>
      <c r="Y152" s="60" t="s">
        <v>113</v>
      </c>
      <c r="Z152" s="18" t="s">
        <v>113</v>
      </c>
      <c r="AA152" s="17" t="s">
        <v>113</v>
      </c>
      <c r="AB152" s="17"/>
      <c r="AC152" s="60" t="str">
        <f t="shared" si="2"/>
        <v/>
      </c>
    </row>
    <row r="153" spans="1:43" ht="13.5" thickBot="1" x14ac:dyDescent="0.25">
      <c r="A153" s="153" t="s">
        <v>114</v>
      </c>
      <c r="B153" s="50" t="s">
        <v>111</v>
      </c>
      <c r="C153" s="27">
        <v>0</v>
      </c>
      <c r="D153" s="36"/>
      <c r="E153" s="32">
        <v>2</v>
      </c>
      <c r="F153" s="60" t="s">
        <v>113</v>
      </c>
      <c r="G153" s="60" t="s">
        <v>113</v>
      </c>
      <c r="H153" s="60" t="s">
        <v>113</v>
      </c>
      <c r="I153" s="60" t="s">
        <v>113</v>
      </c>
      <c r="J153" s="148" t="s">
        <v>113</v>
      </c>
      <c r="K153" s="148" t="s">
        <v>113</v>
      </c>
      <c r="L153" s="148" t="s">
        <v>113</v>
      </c>
      <c r="M153" s="60" t="s">
        <v>113</v>
      </c>
      <c r="N153" s="60" t="s">
        <v>113</v>
      </c>
      <c r="O153" s="60" t="s">
        <v>113</v>
      </c>
      <c r="P153" s="60" t="s">
        <v>113</v>
      </c>
      <c r="Q153" s="59" t="s">
        <v>113</v>
      </c>
      <c r="R153" s="59" t="s">
        <v>113</v>
      </c>
      <c r="S153" s="60" t="s">
        <v>113</v>
      </c>
      <c r="T153" s="60" t="s">
        <v>113</v>
      </c>
      <c r="U153" s="60" t="s">
        <v>113</v>
      </c>
      <c r="V153" s="154" t="str">
        <f>IF(ISERR(Q153*($V$2/30)^2),"",(Q153*($V$2/30)^2))</f>
        <v/>
      </c>
      <c r="W153" s="155" t="str">
        <f>IF(ISERR(((V153/453.59)*$V$2/375)*746),"",(((V153/453.59)*$V$2/375)*746))</f>
        <v/>
      </c>
      <c r="X153" s="60" t="s">
        <v>113</v>
      </c>
      <c r="Y153" s="60" t="s">
        <v>113</v>
      </c>
      <c r="Z153" s="20" t="s">
        <v>113</v>
      </c>
      <c r="AA153" s="21" t="s">
        <v>113</v>
      </c>
      <c r="AB153" s="21"/>
      <c r="AC153" s="60" t="str">
        <f t="shared" si="2"/>
        <v/>
      </c>
    </row>
    <row r="154" spans="1:43" s="1" customFormat="1" x14ac:dyDescent="0.2">
      <c r="A154" s="152" t="s">
        <v>114</v>
      </c>
      <c r="B154" s="28" t="s">
        <v>111</v>
      </c>
      <c r="C154" s="144">
        <v>0</v>
      </c>
      <c r="D154" s="145">
        <v>51</v>
      </c>
      <c r="E154" s="146" t="s">
        <v>112</v>
      </c>
      <c r="F154" s="7" t="s">
        <v>113</v>
      </c>
      <c r="G154" s="7" t="s">
        <v>113</v>
      </c>
      <c r="H154" s="7" t="s">
        <v>113</v>
      </c>
      <c r="I154" s="7" t="s">
        <v>113</v>
      </c>
      <c r="J154" s="147" t="s">
        <v>113</v>
      </c>
      <c r="K154" s="147" t="s">
        <v>113</v>
      </c>
      <c r="L154" s="147" t="s">
        <v>113</v>
      </c>
      <c r="M154" s="7" t="s">
        <v>113</v>
      </c>
      <c r="N154" s="7" t="s">
        <v>113</v>
      </c>
      <c r="O154" s="7" t="s">
        <v>113</v>
      </c>
      <c r="P154" s="7" t="s">
        <v>113</v>
      </c>
      <c r="Q154" s="147" t="s">
        <v>113</v>
      </c>
      <c r="R154" s="147" t="s">
        <v>113</v>
      </c>
      <c r="S154" s="7" t="s">
        <v>113</v>
      </c>
      <c r="T154" s="7" t="s">
        <v>113</v>
      </c>
      <c r="U154" s="147" t="s">
        <v>113</v>
      </c>
      <c r="V154" s="147" t="str">
        <f>IF(ISERR(AVERAGE(V155:V156)),"",AVERAGE(V155:V156))</f>
        <v/>
      </c>
      <c r="W154" s="147" t="str">
        <f>IF(ISERR(AVERAGE(W155:W156)),"",AVERAGE(W155:W156))</f>
        <v/>
      </c>
      <c r="X154" s="7" t="s">
        <v>113</v>
      </c>
      <c r="Y154" s="7" t="s">
        <v>113</v>
      </c>
      <c r="Z154" s="7" t="s">
        <v>113</v>
      </c>
      <c r="AA154" s="7" t="s">
        <v>113</v>
      </c>
      <c r="AB154" s="12"/>
      <c r="AC154" s="7" t="str">
        <f t="shared" si="2"/>
        <v/>
      </c>
      <c r="AD154"/>
      <c r="AE154"/>
      <c r="AF154"/>
      <c r="AG154"/>
      <c r="AH154"/>
      <c r="AI154"/>
      <c r="AJ154"/>
      <c r="AK154"/>
      <c r="AL154"/>
      <c r="AM154"/>
      <c r="AN154"/>
      <c r="AO154"/>
      <c r="AP154"/>
      <c r="AQ154"/>
    </row>
    <row r="155" spans="1:43" x14ac:dyDescent="0.2">
      <c r="A155" s="152" t="s">
        <v>114</v>
      </c>
      <c r="B155" s="49" t="s">
        <v>111</v>
      </c>
      <c r="C155" s="26">
        <v>0</v>
      </c>
      <c r="D155" s="35"/>
      <c r="E155" s="31">
        <v>1</v>
      </c>
      <c r="F155" s="60" t="s">
        <v>113</v>
      </c>
      <c r="G155" s="60" t="s">
        <v>113</v>
      </c>
      <c r="H155" s="60" t="s">
        <v>113</v>
      </c>
      <c r="I155" s="60" t="s">
        <v>113</v>
      </c>
      <c r="J155" s="148" t="s">
        <v>113</v>
      </c>
      <c r="K155" s="148" t="s">
        <v>113</v>
      </c>
      <c r="L155" s="148" t="s">
        <v>113</v>
      </c>
      <c r="M155" s="60" t="s">
        <v>113</v>
      </c>
      <c r="N155" s="60" t="s">
        <v>113</v>
      </c>
      <c r="O155" s="60" t="s">
        <v>113</v>
      </c>
      <c r="P155" s="60" t="s">
        <v>113</v>
      </c>
      <c r="Q155" s="59" t="s">
        <v>113</v>
      </c>
      <c r="R155" s="59" t="s">
        <v>113</v>
      </c>
      <c r="S155" s="60" t="s">
        <v>113</v>
      </c>
      <c r="T155" s="60" t="s">
        <v>113</v>
      </c>
      <c r="U155" s="60" t="s">
        <v>113</v>
      </c>
      <c r="V155" s="154" t="str">
        <f>IF(ISERR(Q155*($V$2/30)^2),"",(Q155*($V$2/30)^2))</f>
        <v/>
      </c>
      <c r="W155" s="155" t="str">
        <f>IF(ISERR(((V155/453.59)*$V$2/375)*746),"",(((V155/453.59)*$V$2/375)*746))</f>
        <v/>
      </c>
      <c r="X155" s="60" t="s">
        <v>113</v>
      </c>
      <c r="Y155" s="60" t="s">
        <v>113</v>
      </c>
      <c r="Z155" s="18" t="s">
        <v>113</v>
      </c>
      <c r="AA155" s="17" t="s">
        <v>113</v>
      </c>
      <c r="AB155" s="17"/>
      <c r="AC155" s="60" t="str">
        <f t="shared" si="2"/>
        <v/>
      </c>
    </row>
    <row r="156" spans="1:43" ht="13.5" thickBot="1" x14ac:dyDescent="0.25">
      <c r="A156" s="153" t="s">
        <v>114</v>
      </c>
      <c r="B156" s="50" t="s">
        <v>111</v>
      </c>
      <c r="C156" s="27">
        <v>0</v>
      </c>
      <c r="D156" s="36"/>
      <c r="E156" s="32">
        <v>2</v>
      </c>
      <c r="F156" s="60" t="s">
        <v>113</v>
      </c>
      <c r="G156" s="60" t="s">
        <v>113</v>
      </c>
      <c r="H156" s="60" t="s">
        <v>113</v>
      </c>
      <c r="I156" s="60" t="s">
        <v>113</v>
      </c>
      <c r="J156" s="148" t="s">
        <v>113</v>
      </c>
      <c r="K156" s="148" t="s">
        <v>113</v>
      </c>
      <c r="L156" s="148" t="s">
        <v>113</v>
      </c>
      <c r="M156" s="60" t="s">
        <v>113</v>
      </c>
      <c r="N156" s="60" t="s">
        <v>113</v>
      </c>
      <c r="O156" s="60" t="s">
        <v>113</v>
      </c>
      <c r="P156" s="60" t="s">
        <v>113</v>
      </c>
      <c r="Q156" s="59" t="s">
        <v>113</v>
      </c>
      <c r="R156" s="59" t="s">
        <v>113</v>
      </c>
      <c r="S156" s="60" t="s">
        <v>113</v>
      </c>
      <c r="T156" s="60" t="s">
        <v>113</v>
      </c>
      <c r="U156" s="60" t="s">
        <v>113</v>
      </c>
      <c r="V156" s="154" t="str">
        <f>IF(ISERR(Q156*($V$2/30)^2),"",(Q156*($V$2/30)^2))</f>
        <v/>
      </c>
      <c r="W156" s="155" t="str">
        <f>IF(ISERR(((V156/453.59)*$V$2/375)*746),"",(((V156/453.59)*$V$2/375)*746))</f>
        <v/>
      </c>
      <c r="X156" s="60" t="s">
        <v>113</v>
      </c>
      <c r="Y156" s="60" t="s">
        <v>113</v>
      </c>
      <c r="Z156" s="20" t="s">
        <v>113</v>
      </c>
      <c r="AA156" s="21" t="s">
        <v>113</v>
      </c>
      <c r="AB156" s="21"/>
      <c r="AC156" s="60" t="str">
        <f t="shared" si="2"/>
        <v/>
      </c>
    </row>
    <row r="157" spans="1:43" s="1" customFormat="1" x14ac:dyDescent="0.2">
      <c r="A157" s="152" t="s">
        <v>114</v>
      </c>
      <c r="B157" s="28" t="s">
        <v>111</v>
      </c>
      <c r="C157" s="144">
        <v>0</v>
      </c>
      <c r="D157" s="145">
        <v>52</v>
      </c>
      <c r="E157" s="146" t="s">
        <v>112</v>
      </c>
      <c r="F157" s="7" t="s">
        <v>113</v>
      </c>
      <c r="G157" s="7" t="s">
        <v>113</v>
      </c>
      <c r="H157" s="7" t="s">
        <v>113</v>
      </c>
      <c r="I157" s="7" t="s">
        <v>113</v>
      </c>
      <c r="J157" s="147" t="s">
        <v>113</v>
      </c>
      <c r="K157" s="147" t="s">
        <v>113</v>
      </c>
      <c r="L157" s="147" t="s">
        <v>113</v>
      </c>
      <c r="M157" s="7" t="s">
        <v>113</v>
      </c>
      <c r="N157" s="7" t="s">
        <v>113</v>
      </c>
      <c r="O157" s="7" t="s">
        <v>113</v>
      </c>
      <c r="P157" s="7" t="s">
        <v>113</v>
      </c>
      <c r="Q157" s="147" t="s">
        <v>113</v>
      </c>
      <c r="R157" s="147" t="s">
        <v>113</v>
      </c>
      <c r="S157" s="7" t="s">
        <v>113</v>
      </c>
      <c r="T157" s="7" t="s">
        <v>113</v>
      </c>
      <c r="U157" s="147" t="s">
        <v>113</v>
      </c>
      <c r="V157" s="147" t="str">
        <f>IF(ISERR(AVERAGE(V158:V159)),"",AVERAGE(V158:V159))</f>
        <v/>
      </c>
      <c r="W157" s="147" t="str">
        <f>IF(ISERR(AVERAGE(W158:W159)),"",AVERAGE(W158:W159))</f>
        <v/>
      </c>
      <c r="X157" s="7" t="s">
        <v>113</v>
      </c>
      <c r="Y157" s="7" t="s">
        <v>113</v>
      </c>
      <c r="Z157" s="7" t="s">
        <v>113</v>
      </c>
      <c r="AA157" s="7" t="s">
        <v>113</v>
      </c>
      <c r="AB157" s="12"/>
      <c r="AC157" s="7" t="str">
        <f t="shared" si="2"/>
        <v/>
      </c>
      <c r="AD157"/>
      <c r="AE157"/>
      <c r="AF157"/>
      <c r="AG157"/>
      <c r="AH157"/>
      <c r="AI157"/>
      <c r="AJ157"/>
      <c r="AK157"/>
      <c r="AL157"/>
      <c r="AM157"/>
      <c r="AN157"/>
      <c r="AO157"/>
      <c r="AP157"/>
      <c r="AQ157"/>
    </row>
    <row r="158" spans="1:43" x14ac:dyDescent="0.2">
      <c r="A158" s="152" t="s">
        <v>114</v>
      </c>
      <c r="B158" s="49" t="s">
        <v>111</v>
      </c>
      <c r="C158" s="26">
        <v>0</v>
      </c>
      <c r="D158" s="35"/>
      <c r="E158" s="31">
        <v>1</v>
      </c>
      <c r="F158" s="60" t="s">
        <v>113</v>
      </c>
      <c r="G158" s="60" t="s">
        <v>113</v>
      </c>
      <c r="H158" s="60" t="s">
        <v>113</v>
      </c>
      <c r="I158" s="60" t="s">
        <v>113</v>
      </c>
      <c r="J158" s="148" t="s">
        <v>113</v>
      </c>
      <c r="K158" s="148" t="s">
        <v>113</v>
      </c>
      <c r="L158" s="148" t="s">
        <v>113</v>
      </c>
      <c r="M158" s="60" t="s">
        <v>113</v>
      </c>
      <c r="N158" s="60" t="s">
        <v>113</v>
      </c>
      <c r="O158" s="60" t="s">
        <v>113</v>
      </c>
      <c r="P158" s="60" t="s">
        <v>113</v>
      </c>
      <c r="Q158" s="59" t="s">
        <v>113</v>
      </c>
      <c r="R158" s="59" t="s">
        <v>113</v>
      </c>
      <c r="S158" s="60" t="s">
        <v>113</v>
      </c>
      <c r="T158" s="60" t="s">
        <v>113</v>
      </c>
      <c r="U158" s="60" t="s">
        <v>113</v>
      </c>
      <c r="V158" s="154" t="str">
        <f>IF(ISERR(Q158*($V$2/30)^2),"",(Q158*($V$2/30)^2))</f>
        <v/>
      </c>
      <c r="W158" s="155" t="str">
        <f>IF(ISERR(((V158/453.59)*$V$2/375)*746),"",(((V158/453.59)*$V$2/375)*746))</f>
        <v/>
      </c>
      <c r="X158" s="60" t="s">
        <v>113</v>
      </c>
      <c r="Y158" s="60" t="s">
        <v>113</v>
      </c>
      <c r="Z158" s="18" t="s">
        <v>113</v>
      </c>
      <c r="AA158" s="17" t="s">
        <v>113</v>
      </c>
      <c r="AB158" s="17"/>
      <c r="AC158" s="60" t="str">
        <f t="shared" si="2"/>
        <v/>
      </c>
    </row>
    <row r="159" spans="1:43" ht="13.5" thickBot="1" x14ac:dyDescent="0.25">
      <c r="A159" s="149" t="s">
        <v>114</v>
      </c>
      <c r="B159" s="50" t="s">
        <v>111</v>
      </c>
      <c r="C159" s="27">
        <v>0</v>
      </c>
      <c r="D159" s="36"/>
      <c r="E159" s="32">
        <v>2</v>
      </c>
      <c r="F159" s="60" t="s">
        <v>113</v>
      </c>
      <c r="G159" s="60" t="s">
        <v>113</v>
      </c>
      <c r="H159" s="60" t="s">
        <v>113</v>
      </c>
      <c r="I159" s="60" t="s">
        <v>113</v>
      </c>
      <c r="J159" s="148" t="s">
        <v>113</v>
      </c>
      <c r="K159" s="148" t="s">
        <v>113</v>
      </c>
      <c r="L159" s="148" t="s">
        <v>113</v>
      </c>
      <c r="M159" s="60" t="s">
        <v>113</v>
      </c>
      <c r="N159" s="60" t="s">
        <v>113</v>
      </c>
      <c r="O159" s="60" t="s">
        <v>113</v>
      </c>
      <c r="P159" s="60" t="s">
        <v>113</v>
      </c>
      <c r="Q159" s="59" t="s">
        <v>113</v>
      </c>
      <c r="R159" s="59" t="s">
        <v>113</v>
      </c>
      <c r="S159" s="60" t="s">
        <v>113</v>
      </c>
      <c r="T159" s="60" t="s">
        <v>113</v>
      </c>
      <c r="U159" s="60" t="s">
        <v>113</v>
      </c>
      <c r="V159" s="154" t="str">
        <f>IF(ISERR(Q159*($V$2/30)^2),"",(Q159*($V$2/30)^2))</f>
        <v/>
      </c>
      <c r="W159" s="155" t="str">
        <f>IF(ISERR(((V159/453.59)*$V$2/375)*746),"",(((V159/453.59)*$V$2/375)*746))</f>
        <v/>
      </c>
      <c r="X159" s="60" t="s">
        <v>113</v>
      </c>
      <c r="Y159" s="60" t="s">
        <v>113</v>
      </c>
      <c r="Z159" s="20" t="s">
        <v>113</v>
      </c>
      <c r="AA159" s="21" t="s">
        <v>113</v>
      </c>
      <c r="AB159" s="21"/>
      <c r="AC159" s="60" t="str">
        <f t="shared" si="2"/>
        <v/>
      </c>
    </row>
    <row r="160" spans="1:43" s="1" customFormat="1" x14ac:dyDescent="0.2">
      <c r="A160" s="143" t="s">
        <v>114</v>
      </c>
      <c r="B160" s="28" t="s">
        <v>111</v>
      </c>
      <c r="C160" s="144">
        <v>0</v>
      </c>
      <c r="D160" s="145">
        <v>53</v>
      </c>
      <c r="E160" s="146" t="s">
        <v>112</v>
      </c>
      <c r="F160" s="7" t="s">
        <v>113</v>
      </c>
      <c r="G160" s="7" t="s">
        <v>113</v>
      </c>
      <c r="H160" s="7" t="s">
        <v>113</v>
      </c>
      <c r="I160" s="7" t="s">
        <v>113</v>
      </c>
      <c r="J160" s="147" t="s">
        <v>113</v>
      </c>
      <c r="K160" s="147" t="s">
        <v>113</v>
      </c>
      <c r="L160" s="147" t="s">
        <v>113</v>
      </c>
      <c r="M160" s="7" t="s">
        <v>113</v>
      </c>
      <c r="N160" s="7" t="s">
        <v>113</v>
      </c>
      <c r="O160" s="7" t="s">
        <v>113</v>
      </c>
      <c r="P160" s="7" t="s">
        <v>113</v>
      </c>
      <c r="Q160" s="147" t="s">
        <v>113</v>
      </c>
      <c r="R160" s="147" t="s">
        <v>113</v>
      </c>
      <c r="S160" s="7" t="s">
        <v>113</v>
      </c>
      <c r="T160" s="7" t="s">
        <v>113</v>
      </c>
      <c r="U160" s="147" t="s">
        <v>113</v>
      </c>
      <c r="V160" s="147" t="str">
        <f>IF(ISERR(AVERAGE(V161:V162)),"",AVERAGE(V161:V162))</f>
        <v/>
      </c>
      <c r="W160" s="147" t="str">
        <f>IF(ISERR(AVERAGE(W161:W162)),"",AVERAGE(W161:W162))</f>
        <v/>
      </c>
      <c r="X160" s="7" t="s">
        <v>113</v>
      </c>
      <c r="Y160" s="7" t="s">
        <v>113</v>
      </c>
      <c r="Z160" s="7" t="s">
        <v>113</v>
      </c>
      <c r="AA160" s="7" t="s">
        <v>113</v>
      </c>
      <c r="AB160" s="12"/>
      <c r="AC160" s="7" t="str">
        <f t="shared" si="2"/>
        <v/>
      </c>
      <c r="AD160"/>
      <c r="AE160"/>
      <c r="AF160"/>
      <c r="AG160"/>
      <c r="AH160"/>
      <c r="AI160"/>
      <c r="AJ160"/>
      <c r="AK160"/>
      <c r="AL160"/>
      <c r="AM160"/>
      <c r="AN160"/>
      <c r="AO160"/>
      <c r="AP160"/>
      <c r="AQ160"/>
    </row>
    <row r="161" spans="1:43" x14ac:dyDescent="0.2">
      <c r="A161" s="143" t="s">
        <v>114</v>
      </c>
      <c r="B161" s="49" t="s">
        <v>111</v>
      </c>
      <c r="C161" s="26">
        <v>0</v>
      </c>
      <c r="D161" s="35"/>
      <c r="E161" s="31">
        <v>1</v>
      </c>
      <c r="F161" s="60" t="s">
        <v>113</v>
      </c>
      <c r="G161" s="60" t="s">
        <v>113</v>
      </c>
      <c r="H161" s="60" t="s">
        <v>113</v>
      </c>
      <c r="I161" s="60" t="s">
        <v>113</v>
      </c>
      <c r="J161" s="148" t="s">
        <v>113</v>
      </c>
      <c r="K161" s="148" t="s">
        <v>113</v>
      </c>
      <c r="L161" s="148" t="s">
        <v>113</v>
      </c>
      <c r="M161" s="60" t="s">
        <v>113</v>
      </c>
      <c r="N161" s="60" t="s">
        <v>113</v>
      </c>
      <c r="O161" s="60" t="s">
        <v>113</v>
      </c>
      <c r="P161" s="60" t="s">
        <v>113</v>
      </c>
      <c r="Q161" s="59" t="s">
        <v>113</v>
      </c>
      <c r="R161" s="59" t="s">
        <v>113</v>
      </c>
      <c r="S161" s="60" t="s">
        <v>113</v>
      </c>
      <c r="T161" s="60" t="s">
        <v>113</v>
      </c>
      <c r="U161" s="60" t="s">
        <v>113</v>
      </c>
      <c r="V161" s="154" t="str">
        <f>IF(ISERR(Q161*($V$2/30)^2),"",(Q161*($V$2/30)^2))</f>
        <v/>
      </c>
      <c r="W161" s="155" t="str">
        <f>IF(ISERR(((V161/453.59)*$V$2/375)*746),"",(((V161/453.59)*$V$2/375)*746))</f>
        <v/>
      </c>
      <c r="X161" s="60" t="s">
        <v>113</v>
      </c>
      <c r="Y161" s="60" t="s">
        <v>113</v>
      </c>
      <c r="Z161" s="18" t="s">
        <v>113</v>
      </c>
      <c r="AA161" s="17" t="s">
        <v>113</v>
      </c>
      <c r="AB161" s="17"/>
      <c r="AC161" s="60" t="str">
        <f t="shared" si="2"/>
        <v/>
      </c>
    </row>
    <row r="162" spans="1:43" ht="13.5" thickBot="1" x14ac:dyDescent="0.25">
      <c r="A162" s="150" t="s">
        <v>114</v>
      </c>
      <c r="B162" s="50" t="s">
        <v>111</v>
      </c>
      <c r="C162" s="27">
        <v>0</v>
      </c>
      <c r="D162" s="36"/>
      <c r="E162" s="32">
        <v>2</v>
      </c>
      <c r="F162" s="60" t="s">
        <v>113</v>
      </c>
      <c r="G162" s="60" t="s">
        <v>113</v>
      </c>
      <c r="H162" s="60" t="s">
        <v>113</v>
      </c>
      <c r="I162" s="60" t="s">
        <v>113</v>
      </c>
      <c r="J162" s="148" t="s">
        <v>113</v>
      </c>
      <c r="K162" s="148" t="s">
        <v>113</v>
      </c>
      <c r="L162" s="148" t="s">
        <v>113</v>
      </c>
      <c r="M162" s="60" t="s">
        <v>113</v>
      </c>
      <c r="N162" s="60" t="s">
        <v>113</v>
      </c>
      <c r="O162" s="60" t="s">
        <v>113</v>
      </c>
      <c r="P162" s="60" t="s">
        <v>113</v>
      </c>
      <c r="Q162" s="59" t="s">
        <v>113</v>
      </c>
      <c r="R162" s="59" t="s">
        <v>113</v>
      </c>
      <c r="S162" s="60" t="s">
        <v>113</v>
      </c>
      <c r="T162" s="60" t="s">
        <v>113</v>
      </c>
      <c r="U162" s="60" t="s">
        <v>113</v>
      </c>
      <c r="V162" s="154" t="str">
        <f>IF(ISERR(Q162*($V$2/30)^2),"",(Q162*($V$2/30)^2))</f>
        <v/>
      </c>
      <c r="W162" s="155" t="str">
        <f>IF(ISERR(((V162/453.59)*$V$2/375)*746),"",(((V162/453.59)*$V$2/375)*746))</f>
        <v/>
      </c>
      <c r="X162" s="60" t="s">
        <v>113</v>
      </c>
      <c r="Y162" s="60" t="s">
        <v>113</v>
      </c>
      <c r="Z162" s="20" t="s">
        <v>113</v>
      </c>
      <c r="AA162" s="21" t="s">
        <v>113</v>
      </c>
      <c r="AB162" s="21"/>
      <c r="AC162" s="60" t="str">
        <f t="shared" si="2"/>
        <v/>
      </c>
    </row>
    <row r="163" spans="1:43" s="1" customFormat="1" x14ac:dyDescent="0.2">
      <c r="A163" s="143" t="s">
        <v>114</v>
      </c>
      <c r="B163" s="28" t="s">
        <v>111</v>
      </c>
      <c r="C163" s="144">
        <v>0</v>
      </c>
      <c r="D163" s="145">
        <v>54</v>
      </c>
      <c r="E163" s="146" t="s">
        <v>112</v>
      </c>
      <c r="F163" s="7" t="s">
        <v>113</v>
      </c>
      <c r="G163" s="7" t="s">
        <v>113</v>
      </c>
      <c r="H163" s="7" t="s">
        <v>113</v>
      </c>
      <c r="I163" s="7" t="s">
        <v>113</v>
      </c>
      <c r="J163" s="147" t="s">
        <v>113</v>
      </c>
      <c r="K163" s="147" t="s">
        <v>113</v>
      </c>
      <c r="L163" s="147" t="s">
        <v>113</v>
      </c>
      <c r="M163" s="7" t="s">
        <v>113</v>
      </c>
      <c r="N163" s="7" t="s">
        <v>113</v>
      </c>
      <c r="O163" s="7" t="s">
        <v>113</v>
      </c>
      <c r="P163" s="7" t="s">
        <v>113</v>
      </c>
      <c r="Q163" s="147" t="s">
        <v>113</v>
      </c>
      <c r="R163" s="147" t="s">
        <v>113</v>
      </c>
      <c r="S163" s="7" t="s">
        <v>113</v>
      </c>
      <c r="T163" s="7" t="s">
        <v>113</v>
      </c>
      <c r="U163" s="147" t="s">
        <v>113</v>
      </c>
      <c r="V163" s="147" t="str">
        <f>IF(ISERR(AVERAGE(V164:V165)),"",AVERAGE(V164:V165))</f>
        <v/>
      </c>
      <c r="W163" s="147" t="str">
        <f>IF(ISERR(AVERAGE(W164:W165)),"",AVERAGE(W164:W165))</f>
        <v/>
      </c>
      <c r="X163" s="7" t="s">
        <v>113</v>
      </c>
      <c r="Y163" s="7" t="s">
        <v>113</v>
      </c>
      <c r="Z163" s="7" t="s">
        <v>113</v>
      </c>
      <c r="AA163" s="7" t="s">
        <v>113</v>
      </c>
      <c r="AB163" s="12"/>
      <c r="AC163" s="7" t="str">
        <f t="shared" si="2"/>
        <v/>
      </c>
      <c r="AD163"/>
      <c r="AE163"/>
      <c r="AF163"/>
      <c r="AG163"/>
      <c r="AH163"/>
      <c r="AI163"/>
      <c r="AJ163"/>
      <c r="AK163"/>
      <c r="AL163"/>
      <c r="AM163"/>
      <c r="AN163"/>
      <c r="AO163"/>
      <c r="AP163"/>
      <c r="AQ163"/>
    </row>
    <row r="164" spans="1:43" x14ac:dyDescent="0.2">
      <c r="A164" s="143" t="s">
        <v>114</v>
      </c>
      <c r="B164" s="49" t="s">
        <v>111</v>
      </c>
      <c r="C164" s="26">
        <v>0</v>
      </c>
      <c r="D164" s="35"/>
      <c r="E164" s="31">
        <v>1</v>
      </c>
      <c r="F164" s="60" t="s">
        <v>113</v>
      </c>
      <c r="G164" s="60" t="s">
        <v>113</v>
      </c>
      <c r="H164" s="60" t="s">
        <v>113</v>
      </c>
      <c r="I164" s="60" t="s">
        <v>113</v>
      </c>
      <c r="J164" s="148" t="s">
        <v>113</v>
      </c>
      <c r="K164" s="148" t="s">
        <v>113</v>
      </c>
      <c r="L164" s="148" t="s">
        <v>113</v>
      </c>
      <c r="M164" s="60" t="s">
        <v>113</v>
      </c>
      <c r="N164" s="60" t="s">
        <v>113</v>
      </c>
      <c r="O164" s="60" t="s">
        <v>113</v>
      </c>
      <c r="P164" s="60" t="s">
        <v>113</v>
      </c>
      <c r="Q164" s="59" t="s">
        <v>113</v>
      </c>
      <c r="R164" s="59" t="s">
        <v>113</v>
      </c>
      <c r="S164" s="60" t="s">
        <v>113</v>
      </c>
      <c r="T164" s="60" t="s">
        <v>113</v>
      </c>
      <c r="U164" s="60" t="s">
        <v>113</v>
      </c>
      <c r="V164" s="154" t="str">
        <f>IF(ISERR(Q164*($V$2/30)^2),"",(Q164*($V$2/30)^2))</f>
        <v/>
      </c>
      <c r="W164" s="155" t="str">
        <f>IF(ISERR(((V164/453.59)*$V$2/375)*746),"",(((V164/453.59)*$V$2/375)*746))</f>
        <v/>
      </c>
      <c r="X164" s="60" t="s">
        <v>113</v>
      </c>
      <c r="Y164" s="60" t="s">
        <v>113</v>
      </c>
      <c r="Z164" s="18" t="s">
        <v>113</v>
      </c>
      <c r="AA164" s="17" t="s">
        <v>113</v>
      </c>
      <c r="AB164" s="17"/>
      <c r="AC164" s="60" t="str">
        <f t="shared" si="2"/>
        <v/>
      </c>
    </row>
    <row r="165" spans="1:43" ht="13.5" thickBot="1" x14ac:dyDescent="0.25">
      <c r="A165" s="149" t="s">
        <v>114</v>
      </c>
      <c r="B165" s="50" t="s">
        <v>111</v>
      </c>
      <c r="C165" s="27">
        <v>0</v>
      </c>
      <c r="D165" s="36"/>
      <c r="E165" s="32">
        <v>2</v>
      </c>
      <c r="F165" s="60" t="s">
        <v>113</v>
      </c>
      <c r="G165" s="60" t="s">
        <v>113</v>
      </c>
      <c r="H165" s="60" t="s">
        <v>113</v>
      </c>
      <c r="I165" s="60" t="s">
        <v>113</v>
      </c>
      <c r="J165" s="148" t="s">
        <v>113</v>
      </c>
      <c r="K165" s="148" t="s">
        <v>113</v>
      </c>
      <c r="L165" s="148" t="s">
        <v>113</v>
      </c>
      <c r="M165" s="60" t="s">
        <v>113</v>
      </c>
      <c r="N165" s="60" t="s">
        <v>113</v>
      </c>
      <c r="O165" s="60" t="s">
        <v>113</v>
      </c>
      <c r="P165" s="60" t="s">
        <v>113</v>
      </c>
      <c r="Q165" s="59" t="s">
        <v>113</v>
      </c>
      <c r="R165" s="59" t="s">
        <v>113</v>
      </c>
      <c r="S165" s="60" t="s">
        <v>113</v>
      </c>
      <c r="T165" s="60" t="s">
        <v>113</v>
      </c>
      <c r="U165" s="60" t="s">
        <v>113</v>
      </c>
      <c r="V165" s="154" t="str">
        <f>IF(ISERR(Q165*($V$2/30)^2),"",(Q165*($V$2/30)^2))</f>
        <v/>
      </c>
      <c r="W165" s="155" t="str">
        <f>IF(ISERR(((V165/453.59)*$V$2/375)*746),"",(((V165/453.59)*$V$2/375)*746))</f>
        <v/>
      </c>
      <c r="X165" s="60" t="s">
        <v>113</v>
      </c>
      <c r="Y165" s="60" t="s">
        <v>113</v>
      </c>
      <c r="Z165" s="20" t="s">
        <v>113</v>
      </c>
      <c r="AA165" s="21" t="s">
        <v>113</v>
      </c>
      <c r="AB165" s="21"/>
      <c r="AC165" s="60" t="str">
        <f t="shared" si="2"/>
        <v/>
      </c>
    </row>
    <row r="166" spans="1:43" s="1" customFormat="1" x14ac:dyDescent="0.2">
      <c r="A166" s="143" t="s">
        <v>114</v>
      </c>
      <c r="B166" s="28" t="s">
        <v>111</v>
      </c>
      <c r="C166" s="144">
        <v>0</v>
      </c>
      <c r="D166" s="145">
        <v>55</v>
      </c>
      <c r="E166" s="146" t="s">
        <v>112</v>
      </c>
      <c r="F166" s="7" t="s">
        <v>113</v>
      </c>
      <c r="G166" s="7" t="s">
        <v>113</v>
      </c>
      <c r="H166" s="7" t="s">
        <v>113</v>
      </c>
      <c r="I166" s="7" t="s">
        <v>113</v>
      </c>
      <c r="J166" s="147" t="s">
        <v>113</v>
      </c>
      <c r="K166" s="147" t="s">
        <v>113</v>
      </c>
      <c r="L166" s="147" t="s">
        <v>113</v>
      </c>
      <c r="M166" s="7" t="s">
        <v>113</v>
      </c>
      <c r="N166" s="7" t="s">
        <v>113</v>
      </c>
      <c r="O166" s="7" t="s">
        <v>113</v>
      </c>
      <c r="P166" s="7" t="s">
        <v>113</v>
      </c>
      <c r="Q166" s="147" t="s">
        <v>113</v>
      </c>
      <c r="R166" s="147" t="s">
        <v>113</v>
      </c>
      <c r="S166" s="7" t="s">
        <v>113</v>
      </c>
      <c r="T166" s="7" t="s">
        <v>113</v>
      </c>
      <c r="U166" s="147" t="s">
        <v>113</v>
      </c>
      <c r="V166" s="147" t="str">
        <f>IF(ISERR(AVERAGE(V167:V168)),"",AVERAGE(V167:V168))</f>
        <v/>
      </c>
      <c r="W166" s="147" t="str">
        <f>IF(ISERR(AVERAGE(W167:W168)),"",AVERAGE(W167:W168))</f>
        <v/>
      </c>
      <c r="X166" s="7" t="s">
        <v>113</v>
      </c>
      <c r="Y166" s="7" t="s">
        <v>113</v>
      </c>
      <c r="Z166" s="7" t="s">
        <v>113</v>
      </c>
      <c r="AA166" s="7" t="s">
        <v>113</v>
      </c>
      <c r="AB166" s="12"/>
      <c r="AC166" s="7" t="str">
        <f t="shared" si="2"/>
        <v/>
      </c>
      <c r="AD166"/>
      <c r="AE166"/>
      <c r="AF166"/>
      <c r="AG166"/>
      <c r="AH166"/>
      <c r="AI166"/>
      <c r="AJ166"/>
      <c r="AK166"/>
      <c r="AL166"/>
      <c r="AM166"/>
      <c r="AN166"/>
      <c r="AO166"/>
      <c r="AP166"/>
      <c r="AQ166"/>
    </row>
    <row r="167" spans="1:43" x14ac:dyDescent="0.2">
      <c r="A167" s="143" t="s">
        <v>114</v>
      </c>
      <c r="B167" s="49" t="s">
        <v>111</v>
      </c>
      <c r="C167" s="26">
        <v>0</v>
      </c>
      <c r="D167" s="35"/>
      <c r="E167" s="31">
        <v>1</v>
      </c>
      <c r="F167" s="60" t="s">
        <v>113</v>
      </c>
      <c r="G167" s="60" t="s">
        <v>113</v>
      </c>
      <c r="H167" s="60" t="s">
        <v>113</v>
      </c>
      <c r="I167" s="60" t="s">
        <v>113</v>
      </c>
      <c r="J167" s="148" t="s">
        <v>113</v>
      </c>
      <c r="K167" s="148" t="s">
        <v>113</v>
      </c>
      <c r="L167" s="148" t="s">
        <v>113</v>
      </c>
      <c r="M167" s="60" t="s">
        <v>113</v>
      </c>
      <c r="N167" s="60" t="s">
        <v>113</v>
      </c>
      <c r="O167" s="60" t="s">
        <v>113</v>
      </c>
      <c r="P167" s="60" t="s">
        <v>113</v>
      </c>
      <c r="Q167" s="59" t="s">
        <v>113</v>
      </c>
      <c r="R167" s="59" t="s">
        <v>113</v>
      </c>
      <c r="S167" s="60" t="s">
        <v>113</v>
      </c>
      <c r="T167" s="60" t="s">
        <v>113</v>
      </c>
      <c r="U167" s="60" t="s">
        <v>113</v>
      </c>
      <c r="V167" s="154" t="str">
        <f>IF(ISERR(Q167*($V$2/30)^2),"",(Q167*($V$2/30)^2))</f>
        <v/>
      </c>
      <c r="W167" s="155" t="str">
        <f>IF(ISERR(((V167/453.59)*$V$2/375)*746),"",(((V167/453.59)*$V$2/375)*746))</f>
        <v/>
      </c>
      <c r="X167" s="60" t="s">
        <v>113</v>
      </c>
      <c r="Y167" s="60" t="s">
        <v>113</v>
      </c>
      <c r="Z167" s="18" t="s">
        <v>113</v>
      </c>
      <c r="AA167" s="17" t="s">
        <v>113</v>
      </c>
      <c r="AB167" s="17"/>
      <c r="AC167" s="60" t="str">
        <f t="shared" si="2"/>
        <v/>
      </c>
    </row>
    <row r="168" spans="1:43" ht="13.5" thickBot="1" x14ac:dyDescent="0.25">
      <c r="A168" s="149" t="s">
        <v>114</v>
      </c>
      <c r="B168" s="50" t="s">
        <v>111</v>
      </c>
      <c r="C168" s="27">
        <v>0</v>
      </c>
      <c r="D168" s="36"/>
      <c r="E168" s="32">
        <v>2</v>
      </c>
      <c r="F168" s="60" t="s">
        <v>113</v>
      </c>
      <c r="G168" s="60" t="s">
        <v>113</v>
      </c>
      <c r="H168" s="60" t="s">
        <v>113</v>
      </c>
      <c r="I168" s="60" t="s">
        <v>113</v>
      </c>
      <c r="J168" s="148" t="s">
        <v>113</v>
      </c>
      <c r="K168" s="148" t="s">
        <v>113</v>
      </c>
      <c r="L168" s="148" t="s">
        <v>113</v>
      </c>
      <c r="M168" s="60" t="s">
        <v>113</v>
      </c>
      <c r="N168" s="60" t="s">
        <v>113</v>
      </c>
      <c r="O168" s="60" t="s">
        <v>113</v>
      </c>
      <c r="P168" s="60" t="s">
        <v>113</v>
      </c>
      <c r="Q168" s="59" t="s">
        <v>113</v>
      </c>
      <c r="R168" s="59" t="s">
        <v>113</v>
      </c>
      <c r="S168" s="60" t="s">
        <v>113</v>
      </c>
      <c r="T168" s="60" t="s">
        <v>113</v>
      </c>
      <c r="U168" s="60" t="s">
        <v>113</v>
      </c>
      <c r="V168" s="154" t="str">
        <f>IF(ISERR(Q168*($V$2/30)^2),"",(Q168*($V$2/30)^2))</f>
        <v/>
      </c>
      <c r="W168" s="155" t="str">
        <f>IF(ISERR(((V168/453.59)*$V$2/375)*746),"",(((V168/453.59)*$V$2/375)*746))</f>
        <v/>
      </c>
      <c r="X168" s="60" t="s">
        <v>113</v>
      </c>
      <c r="Y168" s="60" t="s">
        <v>113</v>
      </c>
      <c r="Z168" s="20" t="s">
        <v>113</v>
      </c>
      <c r="AA168" s="21" t="s">
        <v>113</v>
      </c>
      <c r="AB168" s="21"/>
      <c r="AC168" s="60" t="str">
        <f t="shared" si="2"/>
        <v/>
      </c>
    </row>
    <row r="169" spans="1:43" s="1" customFormat="1" x14ac:dyDescent="0.2">
      <c r="A169" s="143" t="s">
        <v>114</v>
      </c>
      <c r="B169" s="28" t="s">
        <v>111</v>
      </c>
      <c r="C169" s="144">
        <v>0</v>
      </c>
      <c r="D169" s="145">
        <v>56</v>
      </c>
      <c r="E169" s="146" t="s">
        <v>112</v>
      </c>
      <c r="F169" s="7" t="s">
        <v>113</v>
      </c>
      <c r="G169" s="7" t="s">
        <v>113</v>
      </c>
      <c r="H169" s="7" t="s">
        <v>113</v>
      </c>
      <c r="I169" s="7" t="s">
        <v>113</v>
      </c>
      <c r="J169" s="147" t="s">
        <v>113</v>
      </c>
      <c r="K169" s="147" t="s">
        <v>113</v>
      </c>
      <c r="L169" s="147" t="s">
        <v>113</v>
      </c>
      <c r="M169" s="7" t="s">
        <v>113</v>
      </c>
      <c r="N169" s="7" t="s">
        <v>113</v>
      </c>
      <c r="O169" s="7" t="s">
        <v>113</v>
      </c>
      <c r="P169" s="7" t="s">
        <v>113</v>
      </c>
      <c r="Q169" s="147" t="s">
        <v>113</v>
      </c>
      <c r="R169" s="147" t="s">
        <v>113</v>
      </c>
      <c r="S169" s="7" t="s">
        <v>113</v>
      </c>
      <c r="T169" s="7" t="s">
        <v>113</v>
      </c>
      <c r="U169" s="147" t="s">
        <v>113</v>
      </c>
      <c r="V169" s="147" t="str">
        <f>IF(ISERR(AVERAGE(V170:V171)),"",AVERAGE(V170:V171))</f>
        <v/>
      </c>
      <c r="W169" s="147" t="str">
        <f>IF(ISERR(AVERAGE(W170:W171)),"",AVERAGE(W170:W171))</f>
        <v/>
      </c>
      <c r="X169" s="7" t="s">
        <v>113</v>
      </c>
      <c r="Y169" s="7" t="s">
        <v>113</v>
      </c>
      <c r="Z169" s="7" t="s">
        <v>113</v>
      </c>
      <c r="AA169" s="7" t="s">
        <v>113</v>
      </c>
      <c r="AB169" s="12"/>
      <c r="AC169" s="7" t="str">
        <f t="shared" si="2"/>
        <v/>
      </c>
      <c r="AD169"/>
      <c r="AE169"/>
      <c r="AF169"/>
      <c r="AG169"/>
      <c r="AH169"/>
      <c r="AI169"/>
      <c r="AJ169"/>
      <c r="AK169"/>
      <c r="AL169"/>
      <c r="AM169"/>
      <c r="AN169"/>
      <c r="AO169"/>
      <c r="AP169"/>
      <c r="AQ169"/>
    </row>
    <row r="170" spans="1:43" x14ac:dyDescent="0.2">
      <c r="A170" s="143" t="s">
        <v>114</v>
      </c>
      <c r="B170" s="49" t="s">
        <v>111</v>
      </c>
      <c r="C170" s="26">
        <v>0</v>
      </c>
      <c r="D170" s="35"/>
      <c r="E170" s="31">
        <v>1</v>
      </c>
      <c r="F170" s="60" t="s">
        <v>113</v>
      </c>
      <c r="G170" s="60" t="s">
        <v>113</v>
      </c>
      <c r="H170" s="60" t="s">
        <v>113</v>
      </c>
      <c r="I170" s="60" t="s">
        <v>113</v>
      </c>
      <c r="J170" s="148" t="s">
        <v>113</v>
      </c>
      <c r="K170" s="148" t="s">
        <v>113</v>
      </c>
      <c r="L170" s="148" t="s">
        <v>113</v>
      </c>
      <c r="M170" s="60" t="s">
        <v>113</v>
      </c>
      <c r="N170" s="60" t="s">
        <v>113</v>
      </c>
      <c r="O170" s="60" t="s">
        <v>113</v>
      </c>
      <c r="P170" s="60" t="s">
        <v>113</v>
      </c>
      <c r="Q170" s="59" t="s">
        <v>113</v>
      </c>
      <c r="R170" s="59" t="s">
        <v>113</v>
      </c>
      <c r="S170" s="60" t="s">
        <v>113</v>
      </c>
      <c r="T170" s="60" t="s">
        <v>113</v>
      </c>
      <c r="U170" s="60" t="s">
        <v>113</v>
      </c>
      <c r="V170" s="154" t="str">
        <f>IF(ISERR(Q170*($V$2/30)^2),"",(Q170*($V$2/30)^2))</f>
        <v/>
      </c>
      <c r="W170" s="155" t="str">
        <f>IF(ISERR(((V170/453.59)*$V$2/375)*746),"",(((V170/453.59)*$V$2/375)*746))</f>
        <v/>
      </c>
      <c r="X170" s="60" t="s">
        <v>113</v>
      </c>
      <c r="Y170" s="60" t="s">
        <v>113</v>
      </c>
      <c r="Z170" s="18" t="s">
        <v>113</v>
      </c>
      <c r="AA170" s="17" t="s">
        <v>113</v>
      </c>
      <c r="AB170" s="17"/>
      <c r="AC170" s="60" t="str">
        <f t="shared" si="2"/>
        <v/>
      </c>
    </row>
    <row r="171" spans="1:43" ht="13.5" thickBot="1" x14ac:dyDescent="0.25">
      <c r="A171" s="149" t="s">
        <v>114</v>
      </c>
      <c r="B171" s="50" t="s">
        <v>111</v>
      </c>
      <c r="C171" s="27">
        <v>0</v>
      </c>
      <c r="D171" s="36"/>
      <c r="E171" s="32">
        <v>2</v>
      </c>
      <c r="F171" s="60" t="s">
        <v>113</v>
      </c>
      <c r="G171" s="60" t="s">
        <v>113</v>
      </c>
      <c r="H171" s="60" t="s">
        <v>113</v>
      </c>
      <c r="I171" s="60" t="s">
        <v>113</v>
      </c>
      <c r="J171" s="148" t="s">
        <v>113</v>
      </c>
      <c r="K171" s="148" t="s">
        <v>113</v>
      </c>
      <c r="L171" s="148" t="s">
        <v>113</v>
      </c>
      <c r="M171" s="60" t="s">
        <v>113</v>
      </c>
      <c r="N171" s="60" t="s">
        <v>113</v>
      </c>
      <c r="O171" s="60" t="s">
        <v>113</v>
      </c>
      <c r="P171" s="60" t="s">
        <v>113</v>
      </c>
      <c r="Q171" s="59" t="s">
        <v>113</v>
      </c>
      <c r="R171" s="59" t="s">
        <v>113</v>
      </c>
      <c r="S171" s="60" t="s">
        <v>113</v>
      </c>
      <c r="T171" s="60" t="s">
        <v>113</v>
      </c>
      <c r="U171" s="60" t="s">
        <v>113</v>
      </c>
      <c r="V171" s="154" t="str">
        <f>IF(ISERR(Q171*($V$2/30)^2),"",(Q171*($V$2/30)^2))</f>
        <v/>
      </c>
      <c r="W171" s="155" t="str">
        <f>IF(ISERR(((V171/453.59)*$V$2/375)*746),"",(((V171/453.59)*$V$2/375)*746))</f>
        <v/>
      </c>
      <c r="X171" s="60" t="s">
        <v>113</v>
      </c>
      <c r="Y171" s="60" t="s">
        <v>113</v>
      </c>
      <c r="Z171" s="20" t="s">
        <v>113</v>
      </c>
      <c r="AA171" s="21" t="s">
        <v>113</v>
      </c>
      <c r="AB171" s="21"/>
      <c r="AC171" s="60" t="str">
        <f t="shared" si="2"/>
        <v/>
      </c>
    </row>
    <row r="172" spans="1:43" s="1" customFormat="1" x14ac:dyDescent="0.2">
      <c r="A172" s="143" t="s">
        <v>114</v>
      </c>
      <c r="B172" s="28" t="s">
        <v>111</v>
      </c>
      <c r="C172" s="144">
        <v>0</v>
      </c>
      <c r="D172" s="145">
        <v>57</v>
      </c>
      <c r="E172" s="146" t="s">
        <v>112</v>
      </c>
      <c r="F172" s="7" t="s">
        <v>113</v>
      </c>
      <c r="G172" s="7" t="s">
        <v>113</v>
      </c>
      <c r="H172" s="7" t="s">
        <v>113</v>
      </c>
      <c r="I172" s="7" t="s">
        <v>113</v>
      </c>
      <c r="J172" s="147" t="s">
        <v>113</v>
      </c>
      <c r="K172" s="147" t="s">
        <v>113</v>
      </c>
      <c r="L172" s="147" t="s">
        <v>113</v>
      </c>
      <c r="M172" s="7" t="s">
        <v>113</v>
      </c>
      <c r="N172" s="7" t="s">
        <v>113</v>
      </c>
      <c r="O172" s="7" t="s">
        <v>113</v>
      </c>
      <c r="P172" s="7" t="s">
        <v>113</v>
      </c>
      <c r="Q172" s="147" t="s">
        <v>113</v>
      </c>
      <c r="R172" s="147" t="s">
        <v>113</v>
      </c>
      <c r="S172" s="7" t="s">
        <v>113</v>
      </c>
      <c r="T172" s="7" t="s">
        <v>113</v>
      </c>
      <c r="U172" s="147" t="s">
        <v>113</v>
      </c>
      <c r="V172" s="147" t="str">
        <f>IF(ISERR(AVERAGE(V173:V174)),"",AVERAGE(V173:V174))</f>
        <v/>
      </c>
      <c r="W172" s="147" t="str">
        <f>IF(ISERR(AVERAGE(W173:W174)),"",AVERAGE(W173:W174))</f>
        <v/>
      </c>
      <c r="X172" s="7" t="s">
        <v>113</v>
      </c>
      <c r="Y172" s="7" t="s">
        <v>113</v>
      </c>
      <c r="Z172" s="7" t="s">
        <v>113</v>
      </c>
      <c r="AA172" s="7" t="s">
        <v>113</v>
      </c>
      <c r="AB172" s="12"/>
      <c r="AC172" s="7" t="str">
        <f t="shared" si="2"/>
        <v/>
      </c>
      <c r="AD172"/>
      <c r="AE172"/>
      <c r="AF172"/>
      <c r="AG172"/>
      <c r="AH172"/>
      <c r="AI172"/>
      <c r="AJ172"/>
      <c r="AK172"/>
      <c r="AL172"/>
      <c r="AM172"/>
      <c r="AN172"/>
      <c r="AO172"/>
      <c r="AP172"/>
      <c r="AQ172"/>
    </row>
    <row r="173" spans="1:43" x14ac:dyDescent="0.2">
      <c r="A173" s="143" t="s">
        <v>114</v>
      </c>
      <c r="B173" s="49" t="s">
        <v>111</v>
      </c>
      <c r="C173" s="26">
        <v>0</v>
      </c>
      <c r="D173" s="35"/>
      <c r="E173" s="31">
        <v>1</v>
      </c>
      <c r="F173" s="60" t="s">
        <v>113</v>
      </c>
      <c r="G173" s="60" t="s">
        <v>113</v>
      </c>
      <c r="H173" s="60" t="s">
        <v>113</v>
      </c>
      <c r="I173" s="60" t="s">
        <v>113</v>
      </c>
      <c r="J173" s="148" t="s">
        <v>113</v>
      </c>
      <c r="K173" s="148" t="s">
        <v>113</v>
      </c>
      <c r="L173" s="148" t="s">
        <v>113</v>
      </c>
      <c r="M173" s="60" t="s">
        <v>113</v>
      </c>
      <c r="N173" s="60" t="s">
        <v>113</v>
      </c>
      <c r="O173" s="60" t="s">
        <v>113</v>
      </c>
      <c r="P173" s="60" t="s">
        <v>113</v>
      </c>
      <c r="Q173" s="59" t="s">
        <v>113</v>
      </c>
      <c r="R173" s="59" t="s">
        <v>113</v>
      </c>
      <c r="S173" s="60" t="s">
        <v>113</v>
      </c>
      <c r="T173" s="60" t="s">
        <v>113</v>
      </c>
      <c r="U173" s="60" t="s">
        <v>113</v>
      </c>
      <c r="V173" s="154" t="str">
        <f>IF(ISERR(Q173*($V$2/30)^2),"",(Q173*($V$2/30)^2))</f>
        <v/>
      </c>
      <c r="W173" s="155" t="str">
        <f>IF(ISERR(((V173/453.59)*$V$2/375)*746),"",(((V173/453.59)*$V$2/375)*746))</f>
        <v/>
      </c>
      <c r="X173" s="60" t="s">
        <v>113</v>
      </c>
      <c r="Y173" s="60" t="s">
        <v>113</v>
      </c>
      <c r="Z173" s="18" t="s">
        <v>113</v>
      </c>
      <c r="AA173" s="17" t="s">
        <v>113</v>
      </c>
      <c r="AB173" s="17"/>
      <c r="AC173" s="60" t="str">
        <f t="shared" si="2"/>
        <v/>
      </c>
    </row>
    <row r="174" spans="1:43" ht="13.5" thickBot="1" x14ac:dyDescent="0.25">
      <c r="A174" s="149" t="s">
        <v>114</v>
      </c>
      <c r="B174" s="50" t="s">
        <v>111</v>
      </c>
      <c r="C174" s="27">
        <v>0</v>
      </c>
      <c r="D174" s="36"/>
      <c r="E174" s="32">
        <v>2</v>
      </c>
      <c r="F174" s="60" t="s">
        <v>113</v>
      </c>
      <c r="G174" s="60" t="s">
        <v>113</v>
      </c>
      <c r="H174" s="60" t="s">
        <v>113</v>
      </c>
      <c r="I174" s="60" t="s">
        <v>113</v>
      </c>
      <c r="J174" s="148" t="s">
        <v>113</v>
      </c>
      <c r="K174" s="148" t="s">
        <v>113</v>
      </c>
      <c r="L174" s="148" t="s">
        <v>113</v>
      </c>
      <c r="M174" s="60" t="s">
        <v>113</v>
      </c>
      <c r="N174" s="60" t="s">
        <v>113</v>
      </c>
      <c r="O174" s="60" t="s">
        <v>113</v>
      </c>
      <c r="P174" s="60" t="s">
        <v>113</v>
      </c>
      <c r="Q174" s="59" t="s">
        <v>113</v>
      </c>
      <c r="R174" s="59" t="s">
        <v>113</v>
      </c>
      <c r="S174" s="60" t="s">
        <v>113</v>
      </c>
      <c r="T174" s="60" t="s">
        <v>113</v>
      </c>
      <c r="U174" s="60" t="s">
        <v>113</v>
      </c>
      <c r="V174" s="154" t="str">
        <f>IF(ISERR(Q174*($V$2/30)^2),"",(Q174*($V$2/30)^2))</f>
        <v/>
      </c>
      <c r="W174" s="155" t="str">
        <f>IF(ISERR(((V174/453.59)*$V$2/375)*746),"",(((V174/453.59)*$V$2/375)*746))</f>
        <v/>
      </c>
      <c r="X174" s="60" t="s">
        <v>113</v>
      </c>
      <c r="Y174" s="60" t="s">
        <v>113</v>
      </c>
      <c r="Z174" s="20" t="s">
        <v>113</v>
      </c>
      <c r="AA174" s="21" t="s">
        <v>113</v>
      </c>
      <c r="AB174" s="21"/>
      <c r="AC174" s="60" t="str">
        <f t="shared" si="2"/>
        <v/>
      </c>
    </row>
    <row r="175" spans="1:43" s="1" customFormat="1" x14ac:dyDescent="0.2">
      <c r="A175" s="143" t="s">
        <v>114</v>
      </c>
      <c r="B175" s="28" t="s">
        <v>111</v>
      </c>
      <c r="C175" s="144">
        <v>0</v>
      </c>
      <c r="D175" s="145">
        <v>58</v>
      </c>
      <c r="E175" s="146" t="s">
        <v>112</v>
      </c>
      <c r="F175" s="7" t="s">
        <v>113</v>
      </c>
      <c r="G175" s="7" t="s">
        <v>113</v>
      </c>
      <c r="H175" s="7" t="s">
        <v>113</v>
      </c>
      <c r="I175" s="7" t="s">
        <v>113</v>
      </c>
      <c r="J175" s="147" t="s">
        <v>113</v>
      </c>
      <c r="K175" s="147" t="s">
        <v>113</v>
      </c>
      <c r="L175" s="147" t="s">
        <v>113</v>
      </c>
      <c r="M175" s="7" t="s">
        <v>113</v>
      </c>
      <c r="N175" s="7" t="s">
        <v>113</v>
      </c>
      <c r="O175" s="7" t="s">
        <v>113</v>
      </c>
      <c r="P175" s="7" t="s">
        <v>113</v>
      </c>
      <c r="Q175" s="147" t="s">
        <v>113</v>
      </c>
      <c r="R175" s="147" t="s">
        <v>113</v>
      </c>
      <c r="S175" s="7" t="s">
        <v>113</v>
      </c>
      <c r="T175" s="7" t="s">
        <v>113</v>
      </c>
      <c r="U175" s="147" t="s">
        <v>113</v>
      </c>
      <c r="V175" s="147" t="str">
        <f>IF(ISERR(AVERAGE(V176:V177)),"",AVERAGE(V176:V177))</f>
        <v/>
      </c>
      <c r="W175" s="147" t="str">
        <f>IF(ISERR(AVERAGE(W176:W177)),"",AVERAGE(W176:W177))</f>
        <v/>
      </c>
      <c r="X175" s="7" t="s">
        <v>113</v>
      </c>
      <c r="Y175" s="7" t="s">
        <v>113</v>
      </c>
      <c r="Z175" s="7" t="s">
        <v>113</v>
      </c>
      <c r="AA175" s="7" t="s">
        <v>113</v>
      </c>
      <c r="AB175" s="12"/>
      <c r="AC175" s="7" t="str">
        <f t="shared" si="2"/>
        <v/>
      </c>
      <c r="AD175"/>
      <c r="AE175"/>
      <c r="AF175"/>
      <c r="AG175"/>
      <c r="AH175"/>
      <c r="AI175"/>
      <c r="AJ175"/>
      <c r="AK175"/>
      <c r="AL175"/>
      <c r="AM175"/>
      <c r="AN175"/>
      <c r="AO175"/>
      <c r="AP175"/>
      <c r="AQ175"/>
    </row>
    <row r="176" spans="1:43" x14ac:dyDescent="0.2">
      <c r="A176" s="143" t="s">
        <v>114</v>
      </c>
      <c r="B176" s="49" t="s">
        <v>111</v>
      </c>
      <c r="C176" s="26">
        <v>0</v>
      </c>
      <c r="D176" s="35"/>
      <c r="E176" s="31">
        <v>1</v>
      </c>
      <c r="F176" s="60" t="s">
        <v>113</v>
      </c>
      <c r="G176" s="60" t="s">
        <v>113</v>
      </c>
      <c r="H176" s="60" t="s">
        <v>113</v>
      </c>
      <c r="I176" s="60" t="s">
        <v>113</v>
      </c>
      <c r="J176" s="148" t="s">
        <v>113</v>
      </c>
      <c r="K176" s="148" t="s">
        <v>113</v>
      </c>
      <c r="L176" s="148" t="s">
        <v>113</v>
      </c>
      <c r="M176" s="60" t="s">
        <v>113</v>
      </c>
      <c r="N176" s="60" t="s">
        <v>113</v>
      </c>
      <c r="O176" s="60" t="s">
        <v>113</v>
      </c>
      <c r="P176" s="60" t="s">
        <v>113</v>
      </c>
      <c r="Q176" s="59" t="s">
        <v>113</v>
      </c>
      <c r="R176" s="59" t="s">
        <v>113</v>
      </c>
      <c r="S176" s="60" t="s">
        <v>113</v>
      </c>
      <c r="T176" s="60" t="s">
        <v>113</v>
      </c>
      <c r="U176" s="60" t="s">
        <v>113</v>
      </c>
      <c r="V176" s="154" t="str">
        <f>IF(ISERR(Q176*($V$2/30)^2),"",(Q176*($V$2/30)^2))</f>
        <v/>
      </c>
      <c r="W176" s="155" t="str">
        <f>IF(ISERR(((V176/453.59)*$V$2/375)*746),"",(((V176/453.59)*$V$2/375)*746))</f>
        <v/>
      </c>
      <c r="X176" s="60" t="s">
        <v>113</v>
      </c>
      <c r="Y176" s="60" t="s">
        <v>113</v>
      </c>
      <c r="Z176" s="18" t="s">
        <v>113</v>
      </c>
      <c r="AA176" s="17" t="s">
        <v>113</v>
      </c>
      <c r="AB176" s="17"/>
      <c r="AC176" s="60" t="str">
        <f t="shared" si="2"/>
        <v/>
      </c>
    </row>
    <row r="177" spans="1:43" ht="13.5" thickBot="1" x14ac:dyDescent="0.25">
      <c r="A177" s="149" t="s">
        <v>114</v>
      </c>
      <c r="B177" s="50" t="s">
        <v>111</v>
      </c>
      <c r="C177" s="27">
        <v>0</v>
      </c>
      <c r="D177" s="36"/>
      <c r="E177" s="32">
        <v>2</v>
      </c>
      <c r="F177" s="60" t="s">
        <v>113</v>
      </c>
      <c r="G177" s="60" t="s">
        <v>113</v>
      </c>
      <c r="H177" s="60" t="s">
        <v>113</v>
      </c>
      <c r="I177" s="60" t="s">
        <v>113</v>
      </c>
      <c r="J177" s="148" t="s">
        <v>113</v>
      </c>
      <c r="K177" s="148" t="s">
        <v>113</v>
      </c>
      <c r="L177" s="148" t="s">
        <v>113</v>
      </c>
      <c r="M177" s="60" t="s">
        <v>113</v>
      </c>
      <c r="N177" s="60" t="s">
        <v>113</v>
      </c>
      <c r="O177" s="60" t="s">
        <v>113</v>
      </c>
      <c r="P177" s="60" t="s">
        <v>113</v>
      </c>
      <c r="Q177" s="59" t="s">
        <v>113</v>
      </c>
      <c r="R177" s="59" t="s">
        <v>113</v>
      </c>
      <c r="S177" s="60" t="s">
        <v>113</v>
      </c>
      <c r="T177" s="60" t="s">
        <v>113</v>
      </c>
      <c r="U177" s="60" t="s">
        <v>113</v>
      </c>
      <c r="V177" s="154" t="str">
        <f>IF(ISERR(Q177*($V$2/30)^2),"",(Q177*($V$2/30)^2))</f>
        <v/>
      </c>
      <c r="W177" s="155" t="str">
        <f>IF(ISERR(((V177/453.59)*$V$2/375)*746),"",(((V177/453.59)*$V$2/375)*746))</f>
        <v/>
      </c>
      <c r="X177" s="60" t="s">
        <v>113</v>
      </c>
      <c r="Y177" s="60" t="s">
        <v>113</v>
      </c>
      <c r="Z177" s="20" t="s">
        <v>113</v>
      </c>
      <c r="AA177" s="21" t="s">
        <v>113</v>
      </c>
      <c r="AB177" s="21"/>
      <c r="AC177" s="60" t="str">
        <f t="shared" si="2"/>
        <v/>
      </c>
    </row>
    <row r="178" spans="1:43" s="1" customFormat="1" x14ac:dyDescent="0.2">
      <c r="A178" s="143" t="s">
        <v>114</v>
      </c>
      <c r="B178" s="28" t="s">
        <v>111</v>
      </c>
      <c r="C178" s="144">
        <v>0</v>
      </c>
      <c r="D178" s="145">
        <v>59</v>
      </c>
      <c r="E178" s="146" t="s">
        <v>112</v>
      </c>
      <c r="F178" s="7" t="s">
        <v>113</v>
      </c>
      <c r="G178" s="7" t="s">
        <v>113</v>
      </c>
      <c r="H178" s="7" t="s">
        <v>113</v>
      </c>
      <c r="I178" s="7" t="s">
        <v>113</v>
      </c>
      <c r="J178" s="147" t="s">
        <v>113</v>
      </c>
      <c r="K178" s="147" t="s">
        <v>113</v>
      </c>
      <c r="L178" s="147" t="s">
        <v>113</v>
      </c>
      <c r="M178" s="7" t="s">
        <v>113</v>
      </c>
      <c r="N178" s="7" t="s">
        <v>113</v>
      </c>
      <c r="O178" s="7" t="s">
        <v>113</v>
      </c>
      <c r="P178" s="7" t="s">
        <v>113</v>
      </c>
      <c r="Q178" s="147" t="s">
        <v>113</v>
      </c>
      <c r="R178" s="147" t="s">
        <v>113</v>
      </c>
      <c r="S178" s="7" t="s">
        <v>113</v>
      </c>
      <c r="T178" s="7" t="s">
        <v>113</v>
      </c>
      <c r="U178" s="147" t="s">
        <v>113</v>
      </c>
      <c r="V178" s="147" t="str">
        <f>IF(ISERR(AVERAGE(V179:V180)),"",AVERAGE(V179:V180))</f>
        <v/>
      </c>
      <c r="W178" s="147" t="str">
        <f>IF(ISERR(AVERAGE(W179:W180)),"",AVERAGE(W179:W180))</f>
        <v/>
      </c>
      <c r="X178" s="7" t="s">
        <v>113</v>
      </c>
      <c r="Y178" s="7" t="s">
        <v>113</v>
      </c>
      <c r="Z178" s="7" t="s">
        <v>113</v>
      </c>
      <c r="AA178" s="7" t="s">
        <v>113</v>
      </c>
      <c r="AB178" s="12"/>
      <c r="AC178" s="7" t="str">
        <f t="shared" si="2"/>
        <v/>
      </c>
      <c r="AD178"/>
      <c r="AE178"/>
      <c r="AF178"/>
      <c r="AG178"/>
      <c r="AH178"/>
      <c r="AI178"/>
      <c r="AJ178"/>
      <c r="AK178"/>
      <c r="AL178"/>
      <c r="AM178"/>
      <c r="AN178"/>
      <c r="AO178"/>
      <c r="AP178"/>
      <c r="AQ178"/>
    </row>
    <row r="179" spans="1:43" x14ac:dyDescent="0.2">
      <c r="A179" s="143" t="s">
        <v>114</v>
      </c>
      <c r="B179" s="49" t="s">
        <v>111</v>
      </c>
      <c r="C179" s="26">
        <v>0</v>
      </c>
      <c r="D179" s="35"/>
      <c r="E179" s="31">
        <v>1</v>
      </c>
      <c r="F179" s="60" t="s">
        <v>113</v>
      </c>
      <c r="G179" s="60" t="s">
        <v>113</v>
      </c>
      <c r="H179" s="60" t="s">
        <v>113</v>
      </c>
      <c r="I179" s="60" t="s">
        <v>113</v>
      </c>
      <c r="J179" s="148" t="s">
        <v>113</v>
      </c>
      <c r="K179" s="148" t="s">
        <v>113</v>
      </c>
      <c r="L179" s="148" t="s">
        <v>113</v>
      </c>
      <c r="M179" s="60" t="s">
        <v>113</v>
      </c>
      <c r="N179" s="60" t="s">
        <v>113</v>
      </c>
      <c r="O179" s="60" t="s">
        <v>113</v>
      </c>
      <c r="P179" s="60" t="s">
        <v>113</v>
      </c>
      <c r="Q179" s="59" t="s">
        <v>113</v>
      </c>
      <c r="R179" s="59" t="s">
        <v>113</v>
      </c>
      <c r="S179" s="60" t="s">
        <v>113</v>
      </c>
      <c r="T179" s="60" t="s">
        <v>113</v>
      </c>
      <c r="U179" s="60" t="s">
        <v>113</v>
      </c>
      <c r="V179" s="154" t="str">
        <f>IF(ISERR(Q179*($V$2/30)^2),"",(Q179*($V$2/30)^2))</f>
        <v/>
      </c>
      <c r="W179" s="155" t="str">
        <f>IF(ISERR(((V179/453.59)*$V$2/375)*746),"",(((V179/453.59)*$V$2/375)*746))</f>
        <v/>
      </c>
      <c r="X179" s="60" t="s">
        <v>113</v>
      </c>
      <c r="Y179" s="60" t="s">
        <v>113</v>
      </c>
      <c r="Z179" s="18" t="s">
        <v>113</v>
      </c>
      <c r="AA179" s="17" t="s">
        <v>113</v>
      </c>
      <c r="AB179" s="17"/>
      <c r="AC179" s="60" t="str">
        <f t="shared" si="2"/>
        <v/>
      </c>
    </row>
    <row r="180" spans="1:43" ht="13.5" thickBot="1" x14ac:dyDescent="0.25">
      <c r="A180" s="149" t="s">
        <v>114</v>
      </c>
      <c r="B180" s="50" t="s">
        <v>111</v>
      </c>
      <c r="C180" s="27">
        <v>0</v>
      </c>
      <c r="D180" s="36"/>
      <c r="E180" s="32">
        <v>2</v>
      </c>
      <c r="F180" s="60" t="s">
        <v>113</v>
      </c>
      <c r="G180" s="60" t="s">
        <v>113</v>
      </c>
      <c r="H180" s="60" t="s">
        <v>113</v>
      </c>
      <c r="I180" s="60" t="s">
        <v>113</v>
      </c>
      <c r="J180" s="148" t="s">
        <v>113</v>
      </c>
      <c r="K180" s="148" t="s">
        <v>113</v>
      </c>
      <c r="L180" s="148" t="s">
        <v>113</v>
      </c>
      <c r="M180" s="60" t="s">
        <v>113</v>
      </c>
      <c r="N180" s="60" t="s">
        <v>113</v>
      </c>
      <c r="O180" s="60" t="s">
        <v>113</v>
      </c>
      <c r="P180" s="60" t="s">
        <v>113</v>
      </c>
      <c r="Q180" s="59" t="s">
        <v>113</v>
      </c>
      <c r="R180" s="59" t="s">
        <v>113</v>
      </c>
      <c r="S180" s="60" t="s">
        <v>113</v>
      </c>
      <c r="T180" s="60" t="s">
        <v>113</v>
      </c>
      <c r="U180" s="60" t="s">
        <v>113</v>
      </c>
      <c r="V180" s="154" t="str">
        <f>IF(ISERR(Q180*($V$2/30)^2),"",(Q180*($V$2/30)^2))</f>
        <v/>
      </c>
      <c r="W180" s="155" t="str">
        <f>IF(ISERR(((V180/453.59)*$V$2/375)*746),"",(((V180/453.59)*$V$2/375)*746))</f>
        <v/>
      </c>
      <c r="X180" s="60" t="s">
        <v>113</v>
      </c>
      <c r="Y180" s="60" t="s">
        <v>113</v>
      </c>
      <c r="Z180" s="20" t="s">
        <v>113</v>
      </c>
      <c r="AA180" s="21" t="s">
        <v>113</v>
      </c>
      <c r="AB180" s="21"/>
      <c r="AC180" s="60" t="str">
        <f t="shared" si="2"/>
        <v/>
      </c>
    </row>
    <row r="181" spans="1:43" s="1" customFormat="1" x14ac:dyDescent="0.2">
      <c r="A181" s="143" t="s">
        <v>114</v>
      </c>
      <c r="B181" s="28" t="s">
        <v>111</v>
      </c>
      <c r="C181" s="144">
        <v>0</v>
      </c>
      <c r="D181" s="145">
        <v>60</v>
      </c>
      <c r="E181" s="146" t="s">
        <v>112</v>
      </c>
      <c r="F181" s="7" t="s">
        <v>113</v>
      </c>
      <c r="G181" s="7" t="s">
        <v>113</v>
      </c>
      <c r="H181" s="7" t="s">
        <v>113</v>
      </c>
      <c r="I181" s="7" t="s">
        <v>113</v>
      </c>
      <c r="J181" s="147" t="s">
        <v>113</v>
      </c>
      <c r="K181" s="147" t="s">
        <v>113</v>
      </c>
      <c r="L181" s="147" t="s">
        <v>113</v>
      </c>
      <c r="M181" s="7" t="s">
        <v>113</v>
      </c>
      <c r="N181" s="7" t="s">
        <v>113</v>
      </c>
      <c r="O181" s="7" t="s">
        <v>113</v>
      </c>
      <c r="P181" s="7" t="s">
        <v>113</v>
      </c>
      <c r="Q181" s="147" t="s">
        <v>113</v>
      </c>
      <c r="R181" s="147" t="s">
        <v>113</v>
      </c>
      <c r="S181" s="7" t="s">
        <v>113</v>
      </c>
      <c r="T181" s="7" t="s">
        <v>113</v>
      </c>
      <c r="U181" s="147" t="s">
        <v>113</v>
      </c>
      <c r="V181" s="147" t="str">
        <f t="shared" ref="V181:W181" si="3">IF(ISERR(AVERAGE(V182:V183)),"",AVERAGE(V182:V183))</f>
        <v/>
      </c>
      <c r="W181" s="147" t="str">
        <f t="shared" si="3"/>
        <v/>
      </c>
      <c r="X181" s="7" t="s">
        <v>113</v>
      </c>
      <c r="Y181" s="7" t="s">
        <v>113</v>
      </c>
      <c r="Z181" s="7" t="s">
        <v>113</v>
      </c>
      <c r="AA181" s="7" t="s">
        <v>113</v>
      </c>
      <c r="AB181" s="12"/>
      <c r="AC181" s="7" t="str">
        <f t="shared" ref="AC181:AC244" si="4">IF(ISERR(M181*0.314),"",(M181*0.314))</f>
        <v/>
      </c>
      <c r="AD181"/>
      <c r="AE181"/>
      <c r="AF181"/>
      <c r="AG181"/>
      <c r="AH181"/>
      <c r="AI181"/>
      <c r="AJ181"/>
      <c r="AK181"/>
      <c r="AL181"/>
      <c r="AM181"/>
      <c r="AN181"/>
      <c r="AO181"/>
      <c r="AP181"/>
      <c r="AQ181"/>
    </row>
    <row r="182" spans="1:43" x14ac:dyDescent="0.2">
      <c r="A182" s="143" t="s">
        <v>114</v>
      </c>
      <c r="B182" s="49" t="s">
        <v>111</v>
      </c>
      <c r="C182" s="26">
        <v>0</v>
      </c>
      <c r="D182" s="35"/>
      <c r="E182" s="31">
        <v>1</v>
      </c>
      <c r="F182" s="60" t="s">
        <v>113</v>
      </c>
      <c r="G182" s="60" t="s">
        <v>113</v>
      </c>
      <c r="H182" s="60" t="s">
        <v>113</v>
      </c>
      <c r="I182" s="60" t="s">
        <v>113</v>
      </c>
      <c r="J182" s="148" t="s">
        <v>113</v>
      </c>
      <c r="K182" s="148" t="s">
        <v>113</v>
      </c>
      <c r="L182" s="148" t="s">
        <v>113</v>
      </c>
      <c r="M182" s="60" t="s">
        <v>113</v>
      </c>
      <c r="N182" s="60" t="s">
        <v>113</v>
      </c>
      <c r="O182" s="60" t="s">
        <v>113</v>
      </c>
      <c r="P182" s="60" t="s">
        <v>113</v>
      </c>
      <c r="Q182" s="59" t="s">
        <v>113</v>
      </c>
      <c r="R182" s="59" t="s">
        <v>113</v>
      </c>
      <c r="S182" s="60" t="s">
        <v>113</v>
      </c>
      <c r="T182" s="60" t="s">
        <v>113</v>
      </c>
      <c r="U182" s="60" t="s">
        <v>113</v>
      </c>
      <c r="V182" s="154" t="str">
        <f t="shared" ref="V182:V183" si="5">IF(ISERR(Q182*($V$2/30)^2),"",(Q182*($V$2/30)^2))</f>
        <v/>
      </c>
      <c r="W182" s="155" t="str">
        <f t="shared" ref="W182:W183" si="6">IF(ISERR(((V182/453.59)*$V$2/375)*746),"",(((V182/453.59)*$V$2/375)*746))</f>
        <v/>
      </c>
      <c r="X182" s="60" t="s">
        <v>113</v>
      </c>
      <c r="Y182" s="60" t="s">
        <v>113</v>
      </c>
      <c r="Z182" s="18" t="s">
        <v>113</v>
      </c>
      <c r="AA182" s="17" t="s">
        <v>113</v>
      </c>
      <c r="AB182" s="17"/>
      <c r="AC182" s="60" t="str">
        <f t="shared" si="4"/>
        <v/>
      </c>
    </row>
    <row r="183" spans="1:43" ht="13.5" thickBot="1" x14ac:dyDescent="0.25">
      <c r="A183" s="149" t="s">
        <v>114</v>
      </c>
      <c r="B183" s="50" t="s">
        <v>111</v>
      </c>
      <c r="C183" s="27">
        <v>0</v>
      </c>
      <c r="D183" s="36"/>
      <c r="E183" s="32">
        <v>2</v>
      </c>
      <c r="F183" s="60" t="s">
        <v>113</v>
      </c>
      <c r="G183" s="60" t="s">
        <v>113</v>
      </c>
      <c r="H183" s="60" t="s">
        <v>113</v>
      </c>
      <c r="I183" s="60" t="s">
        <v>113</v>
      </c>
      <c r="J183" s="148" t="s">
        <v>113</v>
      </c>
      <c r="K183" s="148" t="s">
        <v>113</v>
      </c>
      <c r="L183" s="148" t="s">
        <v>113</v>
      </c>
      <c r="M183" s="60" t="s">
        <v>113</v>
      </c>
      <c r="N183" s="60" t="s">
        <v>113</v>
      </c>
      <c r="O183" s="60" t="s">
        <v>113</v>
      </c>
      <c r="P183" s="60" t="s">
        <v>113</v>
      </c>
      <c r="Q183" s="59" t="s">
        <v>113</v>
      </c>
      <c r="R183" s="59" t="s">
        <v>113</v>
      </c>
      <c r="S183" s="60" t="s">
        <v>113</v>
      </c>
      <c r="T183" s="60" t="s">
        <v>113</v>
      </c>
      <c r="U183" s="60" t="s">
        <v>113</v>
      </c>
      <c r="V183" s="154" t="str">
        <f t="shared" si="5"/>
        <v/>
      </c>
      <c r="W183" s="155" t="str">
        <f t="shared" si="6"/>
        <v/>
      </c>
      <c r="X183" s="60" t="s">
        <v>113</v>
      </c>
      <c r="Y183" s="60" t="s">
        <v>113</v>
      </c>
      <c r="Z183" s="20" t="s">
        <v>113</v>
      </c>
      <c r="AA183" s="21" t="s">
        <v>113</v>
      </c>
      <c r="AB183" s="21"/>
      <c r="AC183" s="60" t="str">
        <f t="shared" si="4"/>
        <v/>
      </c>
    </row>
    <row r="184" spans="1:43" x14ac:dyDescent="0.2">
      <c r="A184" s="143" t="s">
        <v>114</v>
      </c>
      <c r="B184" s="28" t="s">
        <v>111</v>
      </c>
      <c r="C184" s="144">
        <v>0</v>
      </c>
      <c r="D184" s="145">
        <v>61</v>
      </c>
      <c r="E184" s="146" t="s">
        <v>112</v>
      </c>
      <c r="F184" s="7" t="s">
        <v>113</v>
      </c>
      <c r="G184" s="7" t="s">
        <v>113</v>
      </c>
      <c r="H184" s="7" t="s">
        <v>113</v>
      </c>
      <c r="I184" s="7" t="s">
        <v>113</v>
      </c>
      <c r="J184" s="147" t="s">
        <v>113</v>
      </c>
      <c r="K184" s="147" t="s">
        <v>113</v>
      </c>
      <c r="L184" s="147" t="s">
        <v>113</v>
      </c>
      <c r="M184" s="7" t="s">
        <v>113</v>
      </c>
      <c r="N184" s="7" t="s">
        <v>113</v>
      </c>
      <c r="O184" s="7" t="s">
        <v>113</v>
      </c>
      <c r="P184" s="7" t="s">
        <v>113</v>
      </c>
      <c r="Q184" s="147" t="s">
        <v>113</v>
      </c>
      <c r="R184" s="147" t="s">
        <v>113</v>
      </c>
      <c r="S184" s="7" t="s">
        <v>113</v>
      </c>
      <c r="T184" s="7" t="s">
        <v>113</v>
      </c>
      <c r="U184" s="147" t="s">
        <v>113</v>
      </c>
      <c r="V184" s="147" t="str">
        <f t="shared" ref="V184:W184" si="7">IF(ISERR(AVERAGE(V185:V186)),"",AVERAGE(V185:V186))</f>
        <v/>
      </c>
      <c r="W184" s="147" t="str">
        <f t="shared" si="7"/>
        <v/>
      </c>
      <c r="X184" s="7" t="s">
        <v>113</v>
      </c>
      <c r="Y184" s="7" t="s">
        <v>113</v>
      </c>
      <c r="Z184" s="7" t="s">
        <v>113</v>
      </c>
      <c r="AA184" s="7" t="s">
        <v>113</v>
      </c>
      <c r="AB184" s="12"/>
      <c r="AC184" s="7" t="str">
        <f t="shared" si="4"/>
        <v/>
      </c>
    </row>
    <row r="185" spans="1:43" x14ac:dyDescent="0.2">
      <c r="A185" s="143" t="s">
        <v>114</v>
      </c>
      <c r="B185" s="49" t="s">
        <v>111</v>
      </c>
      <c r="C185" s="26">
        <v>0</v>
      </c>
      <c r="D185" s="35"/>
      <c r="E185" s="31">
        <v>1</v>
      </c>
      <c r="F185" s="60" t="s">
        <v>113</v>
      </c>
      <c r="G185" s="60" t="s">
        <v>113</v>
      </c>
      <c r="H185" s="60" t="s">
        <v>113</v>
      </c>
      <c r="I185" s="60" t="s">
        <v>113</v>
      </c>
      <c r="J185" s="148" t="s">
        <v>113</v>
      </c>
      <c r="K185" s="148" t="s">
        <v>113</v>
      </c>
      <c r="L185" s="148" t="s">
        <v>113</v>
      </c>
      <c r="M185" s="60" t="s">
        <v>113</v>
      </c>
      <c r="N185" s="60" t="s">
        <v>113</v>
      </c>
      <c r="O185" s="60" t="s">
        <v>113</v>
      </c>
      <c r="P185" s="60" t="s">
        <v>113</v>
      </c>
      <c r="Q185" s="59" t="s">
        <v>113</v>
      </c>
      <c r="R185" s="59" t="s">
        <v>113</v>
      </c>
      <c r="S185" s="60" t="s">
        <v>113</v>
      </c>
      <c r="T185" s="60" t="s">
        <v>113</v>
      </c>
      <c r="U185" s="60" t="s">
        <v>113</v>
      </c>
      <c r="V185" s="154" t="str">
        <f t="shared" ref="V185:V186" si="8">IF(ISERR(Q185*($V$2/30)^2),"",(Q185*($V$2/30)^2))</f>
        <v/>
      </c>
      <c r="W185" s="155" t="str">
        <f t="shared" ref="W185:W186" si="9">IF(ISERR(((V185/453.59)*$V$2/375)*746),"",(((V185/453.59)*$V$2/375)*746))</f>
        <v/>
      </c>
      <c r="X185" s="60" t="s">
        <v>113</v>
      </c>
      <c r="Y185" s="60" t="s">
        <v>113</v>
      </c>
      <c r="Z185" s="18" t="s">
        <v>113</v>
      </c>
      <c r="AA185" s="17" t="s">
        <v>113</v>
      </c>
      <c r="AB185" s="17"/>
      <c r="AC185" s="60" t="str">
        <f t="shared" si="4"/>
        <v/>
      </c>
    </row>
    <row r="186" spans="1:43" ht="13.5" thickBot="1" x14ac:dyDescent="0.25">
      <c r="A186" s="149" t="s">
        <v>114</v>
      </c>
      <c r="B186" s="50" t="s">
        <v>111</v>
      </c>
      <c r="C186" s="27">
        <v>0</v>
      </c>
      <c r="D186" s="36"/>
      <c r="E186" s="32">
        <v>2</v>
      </c>
      <c r="F186" s="60" t="s">
        <v>113</v>
      </c>
      <c r="G186" s="60" t="s">
        <v>113</v>
      </c>
      <c r="H186" s="60" t="s">
        <v>113</v>
      </c>
      <c r="I186" s="60" t="s">
        <v>113</v>
      </c>
      <c r="J186" s="148" t="s">
        <v>113</v>
      </c>
      <c r="K186" s="148" t="s">
        <v>113</v>
      </c>
      <c r="L186" s="148" t="s">
        <v>113</v>
      </c>
      <c r="M186" s="60" t="s">
        <v>113</v>
      </c>
      <c r="N186" s="60" t="s">
        <v>113</v>
      </c>
      <c r="O186" s="60" t="s">
        <v>113</v>
      </c>
      <c r="P186" s="60" t="s">
        <v>113</v>
      </c>
      <c r="Q186" s="59" t="s">
        <v>113</v>
      </c>
      <c r="R186" s="59" t="s">
        <v>113</v>
      </c>
      <c r="S186" s="60" t="s">
        <v>113</v>
      </c>
      <c r="T186" s="60" t="s">
        <v>113</v>
      </c>
      <c r="U186" s="60" t="s">
        <v>113</v>
      </c>
      <c r="V186" s="154" t="str">
        <f t="shared" si="8"/>
        <v/>
      </c>
      <c r="W186" s="155" t="str">
        <f t="shared" si="9"/>
        <v/>
      </c>
      <c r="X186" s="60" t="s">
        <v>113</v>
      </c>
      <c r="Y186" s="60" t="s">
        <v>113</v>
      </c>
      <c r="Z186" s="20" t="s">
        <v>113</v>
      </c>
      <c r="AA186" s="21" t="s">
        <v>113</v>
      </c>
      <c r="AB186" s="21"/>
      <c r="AC186" s="60" t="str">
        <f t="shared" si="4"/>
        <v/>
      </c>
    </row>
    <row r="187" spans="1:43" x14ac:dyDescent="0.2">
      <c r="A187" s="143" t="s">
        <v>114</v>
      </c>
      <c r="B187" s="28" t="s">
        <v>111</v>
      </c>
      <c r="C187" s="144">
        <v>0</v>
      </c>
      <c r="D187" s="145">
        <v>62</v>
      </c>
      <c r="E187" s="146" t="s">
        <v>112</v>
      </c>
      <c r="F187" s="7" t="s">
        <v>113</v>
      </c>
      <c r="G187" s="7" t="s">
        <v>113</v>
      </c>
      <c r="H187" s="7" t="s">
        <v>113</v>
      </c>
      <c r="I187" s="7" t="s">
        <v>113</v>
      </c>
      <c r="J187" s="147" t="s">
        <v>113</v>
      </c>
      <c r="K187" s="147" t="s">
        <v>113</v>
      </c>
      <c r="L187" s="147" t="s">
        <v>113</v>
      </c>
      <c r="M187" s="7" t="s">
        <v>113</v>
      </c>
      <c r="N187" s="7" t="s">
        <v>113</v>
      </c>
      <c r="O187" s="7" t="s">
        <v>113</v>
      </c>
      <c r="P187" s="7" t="s">
        <v>113</v>
      </c>
      <c r="Q187" s="147" t="s">
        <v>113</v>
      </c>
      <c r="R187" s="147" t="s">
        <v>113</v>
      </c>
      <c r="S187" s="7" t="s">
        <v>113</v>
      </c>
      <c r="T187" s="7" t="s">
        <v>113</v>
      </c>
      <c r="U187" s="147" t="s">
        <v>113</v>
      </c>
      <c r="V187" s="147" t="str">
        <f t="shared" ref="V187:W187" si="10">IF(ISERR(AVERAGE(V188:V189)),"",AVERAGE(V188:V189))</f>
        <v/>
      </c>
      <c r="W187" s="147" t="str">
        <f t="shared" si="10"/>
        <v/>
      </c>
      <c r="X187" s="7" t="s">
        <v>113</v>
      </c>
      <c r="Y187" s="7" t="s">
        <v>113</v>
      </c>
      <c r="Z187" s="7" t="s">
        <v>113</v>
      </c>
      <c r="AA187" s="7" t="s">
        <v>113</v>
      </c>
      <c r="AB187" s="12"/>
      <c r="AC187" s="7" t="str">
        <f t="shared" si="4"/>
        <v/>
      </c>
    </row>
    <row r="188" spans="1:43" x14ac:dyDescent="0.2">
      <c r="A188" s="143" t="s">
        <v>114</v>
      </c>
      <c r="B188" s="49" t="s">
        <v>111</v>
      </c>
      <c r="C188" s="26">
        <v>0</v>
      </c>
      <c r="D188" s="35"/>
      <c r="E188" s="31">
        <v>1</v>
      </c>
      <c r="F188" s="60" t="s">
        <v>113</v>
      </c>
      <c r="G188" s="60" t="s">
        <v>113</v>
      </c>
      <c r="H188" s="60" t="s">
        <v>113</v>
      </c>
      <c r="I188" s="60" t="s">
        <v>113</v>
      </c>
      <c r="J188" s="148" t="s">
        <v>113</v>
      </c>
      <c r="K188" s="148" t="s">
        <v>113</v>
      </c>
      <c r="L188" s="148" t="s">
        <v>113</v>
      </c>
      <c r="M188" s="60" t="s">
        <v>113</v>
      </c>
      <c r="N188" s="60" t="s">
        <v>113</v>
      </c>
      <c r="O188" s="60" t="s">
        <v>113</v>
      </c>
      <c r="P188" s="60" t="s">
        <v>113</v>
      </c>
      <c r="Q188" s="59" t="s">
        <v>113</v>
      </c>
      <c r="R188" s="59" t="s">
        <v>113</v>
      </c>
      <c r="S188" s="60" t="s">
        <v>113</v>
      </c>
      <c r="T188" s="60" t="s">
        <v>113</v>
      </c>
      <c r="U188" s="60" t="s">
        <v>113</v>
      </c>
      <c r="V188" s="154" t="str">
        <f t="shared" ref="V188:V189" si="11">IF(ISERR(Q188*($V$2/30)^2),"",(Q188*($V$2/30)^2))</f>
        <v/>
      </c>
      <c r="W188" s="155" t="str">
        <f t="shared" ref="W188:W189" si="12">IF(ISERR(((V188/453.59)*$V$2/375)*746),"",(((V188/453.59)*$V$2/375)*746))</f>
        <v/>
      </c>
      <c r="X188" s="60" t="s">
        <v>113</v>
      </c>
      <c r="Y188" s="60" t="s">
        <v>113</v>
      </c>
      <c r="Z188" s="18" t="s">
        <v>113</v>
      </c>
      <c r="AA188" s="17" t="s">
        <v>113</v>
      </c>
      <c r="AB188" s="17"/>
      <c r="AC188" s="60" t="str">
        <f t="shared" si="4"/>
        <v/>
      </c>
    </row>
    <row r="189" spans="1:43" ht="13.5" thickBot="1" x14ac:dyDescent="0.25">
      <c r="A189" s="149" t="s">
        <v>114</v>
      </c>
      <c r="B189" s="50" t="s">
        <v>111</v>
      </c>
      <c r="C189" s="27">
        <v>0</v>
      </c>
      <c r="D189" s="36"/>
      <c r="E189" s="32">
        <v>2</v>
      </c>
      <c r="F189" s="60" t="s">
        <v>113</v>
      </c>
      <c r="G189" s="60" t="s">
        <v>113</v>
      </c>
      <c r="H189" s="60" t="s">
        <v>113</v>
      </c>
      <c r="I189" s="60" t="s">
        <v>113</v>
      </c>
      <c r="J189" s="148" t="s">
        <v>113</v>
      </c>
      <c r="K189" s="148" t="s">
        <v>113</v>
      </c>
      <c r="L189" s="148" t="s">
        <v>113</v>
      </c>
      <c r="M189" s="60" t="s">
        <v>113</v>
      </c>
      <c r="N189" s="60" t="s">
        <v>113</v>
      </c>
      <c r="O189" s="60" t="s">
        <v>113</v>
      </c>
      <c r="P189" s="60" t="s">
        <v>113</v>
      </c>
      <c r="Q189" s="59" t="s">
        <v>113</v>
      </c>
      <c r="R189" s="59" t="s">
        <v>113</v>
      </c>
      <c r="S189" s="60" t="s">
        <v>113</v>
      </c>
      <c r="T189" s="60" t="s">
        <v>113</v>
      </c>
      <c r="U189" s="60" t="s">
        <v>113</v>
      </c>
      <c r="V189" s="154" t="str">
        <f t="shared" si="11"/>
        <v/>
      </c>
      <c r="W189" s="155" t="str">
        <f t="shared" si="12"/>
        <v/>
      </c>
      <c r="X189" s="60" t="s">
        <v>113</v>
      </c>
      <c r="Y189" s="60" t="s">
        <v>113</v>
      </c>
      <c r="Z189" s="20" t="s">
        <v>113</v>
      </c>
      <c r="AA189" s="21" t="s">
        <v>113</v>
      </c>
      <c r="AB189" s="21"/>
      <c r="AC189" s="60" t="str">
        <f t="shared" si="4"/>
        <v/>
      </c>
    </row>
    <row r="190" spans="1:43" x14ac:dyDescent="0.2">
      <c r="A190" s="143" t="s">
        <v>114</v>
      </c>
      <c r="B190" s="28" t="s">
        <v>111</v>
      </c>
      <c r="C190" s="144">
        <v>0</v>
      </c>
      <c r="D190" s="145">
        <v>63</v>
      </c>
      <c r="E190" s="146" t="s">
        <v>112</v>
      </c>
      <c r="F190" s="7" t="s">
        <v>113</v>
      </c>
      <c r="G190" s="7" t="s">
        <v>113</v>
      </c>
      <c r="H190" s="7" t="s">
        <v>113</v>
      </c>
      <c r="I190" s="7" t="s">
        <v>113</v>
      </c>
      <c r="J190" s="147" t="s">
        <v>113</v>
      </c>
      <c r="K190" s="147" t="s">
        <v>113</v>
      </c>
      <c r="L190" s="147" t="s">
        <v>113</v>
      </c>
      <c r="M190" s="7" t="s">
        <v>113</v>
      </c>
      <c r="N190" s="7" t="s">
        <v>113</v>
      </c>
      <c r="O190" s="7" t="s">
        <v>113</v>
      </c>
      <c r="P190" s="7" t="s">
        <v>113</v>
      </c>
      <c r="Q190" s="147" t="s">
        <v>113</v>
      </c>
      <c r="R190" s="147" t="s">
        <v>113</v>
      </c>
      <c r="S190" s="7" t="s">
        <v>113</v>
      </c>
      <c r="T190" s="7" t="s">
        <v>113</v>
      </c>
      <c r="U190" s="147" t="s">
        <v>113</v>
      </c>
      <c r="V190" s="147" t="str">
        <f t="shared" ref="V190:W190" si="13">IF(ISERR(AVERAGE(V191:V192)),"",AVERAGE(V191:V192))</f>
        <v/>
      </c>
      <c r="W190" s="147" t="str">
        <f t="shared" si="13"/>
        <v/>
      </c>
      <c r="X190" s="7" t="s">
        <v>113</v>
      </c>
      <c r="Y190" s="7" t="s">
        <v>113</v>
      </c>
      <c r="Z190" s="7" t="s">
        <v>113</v>
      </c>
      <c r="AA190" s="7" t="s">
        <v>113</v>
      </c>
      <c r="AB190" s="12"/>
      <c r="AC190" s="7" t="str">
        <f t="shared" si="4"/>
        <v/>
      </c>
    </row>
    <row r="191" spans="1:43" x14ac:dyDescent="0.2">
      <c r="A191" s="143" t="s">
        <v>114</v>
      </c>
      <c r="B191" s="49" t="s">
        <v>111</v>
      </c>
      <c r="C191" s="26">
        <v>0</v>
      </c>
      <c r="D191" s="35"/>
      <c r="E191" s="31">
        <v>1</v>
      </c>
      <c r="F191" s="60" t="s">
        <v>113</v>
      </c>
      <c r="G191" s="60" t="s">
        <v>113</v>
      </c>
      <c r="H191" s="60" t="s">
        <v>113</v>
      </c>
      <c r="I191" s="60" t="s">
        <v>113</v>
      </c>
      <c r="J191" s="148" t="s">
        <v>113</v>
      </c>
      <c r="K191" s="148" t="s">
        <v>113</v>
      </c>
      <c r="L191" s="148" t="s">
        <v>113</v>
      </c>
      <c r="M191" s="60" t="s">
        <v>113</v>
      </c>
      <c r="N191" s="60" t="s">
        <v>113</v>
      </c>
      <c r="O191" s="60" t="s">
        <v>113</v>
      </c>
      <c r="P191" s="60" t="s">
        <v>113</v>
      </c>
      <c r="Q191" s="59" t="s">
        <v>113</v>
      </c>
      <c r="R191" s="59" t="s">
        <v>113</v>
      </c>
      <c r="S191" s="60" t="s">
        <v>113</v>
      </c>
      <c r="T191" s="60" t="s">
        <v>113</v>
      </c>
      <c r="U191" s="60" t="s">
        <v>113</v>
      </c>
      <c r="V191" s="154" t="str">
        <f t="shared" ref="V191:V192" si="14">IF(ISERR(Q191*($V$2/30)^2),"",(Q191*($V$2/30)^2))</f>
        <v/>
      </c>
      <c r="W191" s="155" t="str">
        <f t="shared" ref="W191:W192" si="15">IF(ISERR(((V191/453.59)*$V$2/375)*746),"",(((V191/453.59)*$V$2/375)*746))</f>
        <v/>
      </c>
      <c r="X191" s="60" t="s">
        <v>113</v>
      </c>
      <c r="Y191" s="60" t="s">
        <v>113</v>
      </c>
      <c r="Z191" s="18" t="s">
        <v>113</v>
      </c>
      <c r="AA191" s="17" t="s">
        <v>113</v>
      </c>
      <c r="AB191" s="17"/>
      <c r="AC191" s="60" t="str">
        <f t="shared" si="4"/>
        <v/>
      </c>
    </row>
    <row r="192" spans="1:43" ht="13.5" thickBot="1" x14ac:dyDescent="0.25">
      <c r="A192" s="149" t="s">
        <v>114</v>
      </c>
      <c r="B192" s="50" t="s">
        <v>111</v>
      </c>
      <c r="C192" s="27">
        <v>0</v>
      </c>
      <c r="D192" s="36"/>
      <c r="E192" s="32">
        <v>2</v>
      </c>
      <c r="F192" s="60" t="s">
        <v>113</v>
      </c>
      <c r="G192" s="60" t="s">
        <v>113</v>
      </c>
      <c r="H192" s="60" t="s">
        <v>113</v>
      </c>
      <c r="I192" s="60" t="s">
        <v>113</v>
      </c>
      <c r="J192" s="148" t="s">
        <v>113</v>
      </c>
      <c r="K192" s="148" t="s">
        <v>113</v>
      </c>
      <c r="L192" s="148" t="s">
        <v>113</v>
      </c>
      <c r="M192" s="60" t="s">
        <v>113</v>
      </c>
      <c r="N192" s="60" t="s">
        <v>113</v>
      </c>
      <c r="O192" s="60" t="s">
        <v>113</v>
      </c>
      <c r="P192" s="60" t="s">
        <v>113</v>
      </c>
      <c r="Q192" s="59" t="s">
        <v>113</v>
      </c>
      <c r="R192" s="59" t="s">
        <v>113</v>
      </c>
      <c r="S192" s="60" t="s">
        <v>113</v>
      </c>
      <c r="T192" s="60" t="s">
        <v>113</v>
      </c>
      <c r="U192" s="60" t="s">
        <v>113</v>
      </c>
      <c r="V192" s="154" t="str">
        <f t="shared" si="14"/>
        <v/>
      </c>
      <c r="W192" s="155" t="str">
        <f t="shared" si="15"/>
        <v/>
      </c>
      <c r="X192" s="60" t="s">
        <v>113</v>
      </c>
      <c r="Y192" s="60" t="s">
        <v>113</v>
      </c>
      <c r="Z192" s="20" t="s">
        <v>113</v>
      </c>
      <c r="AA192" s="21" t="s">
        <v>113</v>
      </c>
      <c r="AB192" s="21"/>
      <c r="AC192" s="60" t="str">
        <f t="shared" si="4"/>
        <v/>
      </c>
    </row>
    <row r="193" spans="1:29" x14ac:dyDescent="0.2">
      <c r="A193" s="143" t="s">
        <v>114</v>
      </c>
      <c r="B193" s="28" t="s">
        <v>111</v>
      </c>
      <c r="C193" s="144">
        <v>0</v>
      </c>
      <c r="D193" s="145">
        <v>64</v>
      </c>
      <c r="E193" s="146" t="s">
        <v>112</v>
      </c>
      <c r="F193" s="7" t="s">
        <v>113</v>
      </c>
      <c r="G193" s="7" t="s">
        <v>113</v>
      </c>
      <c r="H193" s="7" t="s">
        <v>113</v>
      </c>
      <c r="I193" s="7" t="s">
        <v>113</v>
      </c>
      <c r="J193" s="147" t="s">
        <v>113</v>
      </c>
      <c r="K193" s="147" t="s">
        <v>113</v>
      </c>
      <c r="L193" s="147" t="s">
        <v>113</v>
      </c>
      <c r="M193" s="7" t="s">
        <v>113</v>
      </c>
      <c r="N193" s="7" t="s">
        <v>113</v>
      </c>
      <c r="O193" s="7" t="s">
        <v>113</v>
      </c>
      <c r="P193" s="7" t="s">
        <v>113</v>
      </c>
      <c r="Q193" s="147" t="s">
        <v>113</v>
      </c>
      <c r="R193" s="147" t="s">
        <v>113</v>
      </c>
      <c r="S193" s="7" t="s">
        <v>113</v>
      </c>
      <c r="T193" s="7" t="s">
        <v>113</v>
      </c>
      <c r="U193" s="147" t="s">
        <v>113</v>
      </c>
      <c r="V193" s="147" t="str">
        <f t="shared" ref="V193:W193" si="16">IF(ISERR(AVERAGE(V194:V195)),"",AVERAGE(V194:V195))</f>
        <v/>
      </c>
      <c r="W193" s="147" t="str">
        <f t="shared" si="16"/>
        <v/>
      </c>
      <c r="X193" s="7" t="s">
        <v>113</v>
      </c>
      <c r="Y193" s="7" t="s">
        <v>113</v>
      </c>
      <c r="Z193" s="7" t="s">
        <v>113</v>
      </c>
      <c r="AA193" s="7" t="s">
        <v>113</v>
      </c>
      <c r="AB193" s="12"/>
      <c r="AC193" s="7" t="str">
        <f t="shared" si="4"/>
        <v/>
      </c>
    </row>
    <row r="194" spans="1:29" x14ac:dyDescent="0.2">
      <c r="A194" s="143" t="s">
        <v>114</v>
      </c>
      <c r="B194" s="49" t="s">
        <v>111</v>
      </c>
      <c r="C194" s="26">
        <v>0</v>
      </c>
      <c r="D194" s="35"/>
      <c r="E194" s="31">
        <v>1</v>
      </c>
      <c r="F194" s="60" t="s">
        <v>113</v>
      </c>
      <c r="G194" s="60" t="s">
        <v>113</v>
      </c>
      <c r="H194" s="60" t="s">
        <v>113</v>
      </c>
      <c r="I194" s="60" t="s">
        <v>113</v>
      </c>
      <c r="J194" s="148" t="s">
        <v>113</v>
      </c>
      <c r="K194" s="148" t="s">
        <v>113</v>
      </c>
      <c r="L194" s="148" t="s">
        <v>113</v>
      </c>
      <c r="M194" s="60" t="s">
        <v>113</v>
      </c>
      <c r="N194" s="60" t="s">
        <v>113</v>
      </c>
      <c r="O194" s="60" t="s">
        <v>113</v>
      </c>
      <c r="P194" s="60" t="s">
        <v>113</v>
      </c>
      <c r="Q194" s="59" t="s">
        <v>113</v>
      </c>
      <c r="R194" s="59" t="s">
        <v>113</v>
      </c>
      <c r="S194" s="60" t="s">
        <v>113</v>
      </c>
      <c r="T194" s="60" t="s">
        <v>113</v>
      </c>
      <c r="U194" s="60" t="s">
        <v>113</v>
      </c>
      <c r="V194" s="154" t="str">
        <f t="shared" ref="V194:V195" si="17">IF(ISERR(Q194*($V$2/30)^2),"",(Q194*($V$2/30)^2))</f>
        <v/>
      </c>
      <c r="W194" s="155" t="str">
        <f t="shared" ref="W194:W195" si="18">IF(ISERR(((V194/453.59)*$V$2/375)*746),"",(((V194/453.59)*$V$2/375)*746))</f>
        <v/>
      </c>
      <c r="X194" s="60" t="s">
        <v>113</v>
      </c>
      <c r="Y194" s="60" t="s">
        <v>113</v>
      </c>
      <c r="Z194" s="18" t="s">
        <v>113</v>
      </c>
      <c r="AA194" s="17" t="s">
        <v>113</v>
      </c>
      <c r="AB194" s="17"/>
      <c r="AC194" s="60" t="str">
        <f t="shared" si="4"/>
        <v/>
      </c>
    </row>
    <row r="195" spans="1:29" ht="13.5" thickBot="1" x14ac:dyDescent="0.25">
      <c r="A195" s="149" t="s">
        <v>114</v>
      </c>
      <c r="B195" s="50" t="s">
        <v>111</v>
      </c>
      <c r="C195" s="27">
        <v>0</v>
      </c>
      <c r="D195" s="36"/>
      <c r="E195" s="32">
        <v>2</v>
      </c>
      <c r="F195" s="60" t="s">
        <v>113</v>
      </c>
      <c r="G195" s="60" t="s">
        <v>113</v>
      </c>
      <c r="H195" s="60" t="s">
        <v>113</v>
      </c>
      <c r="I195" s="60" t="s">
        <v>113</v>
      </c>
      <c r="J195" s="148" t="s">
        <v>113</v>
      </c>
      <c r="K195" s="148" t="s">
        <v>113</v>
      </c>
      <c r="L195" s="148" t="s">
        <v>113</v>
      </c>
      <c r="M195" s="60" t="s">
        <v>113</v>
      </c>
      <c r="N195" s="60" t="s">
        <v>113</v>
      </c>
      <c r="O195" s="60" t="s">
        <v>113</v>
      </c>
      <c r="P195" s="60" t="s">
        <v>113</v>
      </c>
      <c r="Q195" s="59" t="s">
        <v>113</v>
      </c>
      <c r="R195" s="59" t="s">
        <v>113</v>
      </c>
      <c r="S195" s="60" t="s">
        <v>113</v>
      </c>
      <c r="T195" s="60" t="s">
        <v>113</v>
      </c>
      <c r="U195" s="60" t="s">
        <v>113</v>
      </c>
      <c r="V195" s="154" t="str">
        <f t="shared" si="17"/>
        <v/>
      </c>
      <c r="W195" s="155" t="str">
        <f t="shared" si="18"/>
        <v/>
      </c>
      <c r="X195" s="60" t="s">
        <v>113</v>
      </c>
      <c r="Y195" s="60" t="s">
        <v>113</v>
      </c>
      <c r="Z195" s="20" t="s">
        <v>113</v>
      </c>
      <c r="AA195" s="21" t="s">
        <v>113</v>
      </c>
      <c r="AB195" s="21"/>
      <c r="AC195" s="60" t="str">
        <f t="shared" si="4"/>
        <v/>
      </c>
    </row>
    <row r="196" spans="1:29" x14ac:dyDescent="0.2">
      <c r="A196" s="143" t="s">
        <v>114</v>
      </c>
      <c r="B196" s="28" t="s">
        <v>111</v>
      </c>
      <c r="C196" s="144">
        <v>0</v>
      </c>
      <c r="D196" s="145">
        <v>65</v>
      </c>
      <c r="E196" s="146" t="s">
        <v>112</v>
      </c>
      <c r="F196" s="7" t="s">
        <v>113</v>
      </c>
      <c r="G196" s="7" t="s">
        <v>113</v>
      </c>
      <c r="H196" s="7" t="s">
        <v>113</v>
      </c>
      <c r="I196" s="7" t="s">
        <v>113</v>
      </c>
      <c r="J196" s="147" t="s">
        <v>113</v>
      </c>
      <c r="K196" s="147" t="s">
        <v>113</v>
      </c>
      <c r="L196" s="147" t="s">
        <v>113</v>
      </c>
      <c r="M196" s="7" t="s">
        <v>113</v>
      </c>
      <c r="N196" s="7" t="s">
        <v>113</v>
      </c>
      <c r="O196" s="7" t="s">
        <v>113</v>
      </c>
      <c r="P196" s="7" t="s">
        <v>113</v>
      </c>
      <c r="Q196" s="147" t="s">
        <v>113</v>
      </c>
      <c r="R196" s="147" t="s">
        <v>113</v>
      </c>
      <c r="S196" s="7" t="s">
        <v>113</v>
      </c>
      <c r="T196" s="7" t="s">
        <v>113</v>
      </c>
      <c r="U196" s="147" t="s">
        <v>113</v>
      </c>
      <c r="V196" s="147" t="str">
        <f t="shared" ref="V196:W196" si="19">IF(ISERR(AVERAGE(V197:V198)),"",AVERAGE(V197:V198))</f>
        <v/>
      </c>
      <c r="W196" s="147" t="str">
        <f t="shared" si="19"/>
        <v/>
      </c>
      <c r="X196" s="7" t="s">
        <v>113</v>
      </c>
      <c r="Y196" s="7" t="s">
        <v>113</v>
      </c>
      <c r="Z196" s="7" t="s">
        <v>113</v>
      </c>
      <c r="AA196" s="7" t="s">
        <v>113</v>
      </c>
      <c r="AB196" s="12"/>
      <c r="AC196" s="7" t="str">
        <f t="shared" si="4"/>
        <v/>
      </c>
    </row>
    <row r="197" spans="1:29" x14ac:dyDescent="0.2">
      <c r="A197" s="143" t="s">
        <v>114</v>
      </c>
      <c r="B197" s="49" t="s">
        <v>111</v>
      </c>
      <c r="C197" s="26">
        <v>0</v>
      </c>
      <c r="D197" s="35"/>
      <c r="E197" s="31">
        <v>1</v>
      </c>
      <c r="F197" s="60" t="s">
        <v>113</v>
      </c>
      <c r="G197" s="60" t="s">
        <v>113</v>
      </c>
      <c r="H197" s="60" t="s">
        <v>113</v>
      </c>
      <c r="I197" s="60" t="s">
        <v>113</v>
      </c>
      <c r="J197" s="148" t="s">
        <v>113</v>
      </c>
      <c r="K197" s="148" t="s">
        <v>113</v>
      </c>
      <c r="L197" s="148" t="s">
        <v>113</v>
      </c>
      <c r="M197" s="60" t="s">
        <v>113</v>
      </c>
      <c r="N197" s="60" t="s">
        <v>113</v>
      </c>
      <c r="O197" s="60" t="s">
        <v>113</v>
      </c>
      <c r="P197" s="60" t="s">
        <v>113</v>
      </c>
      <c r="Q197" s="59" t="s">
        <v>113</v>
      </c>
      <c r="R197" s="59" t="s">
        <v>113</v>
      </c>
      <c r="S197" s="60" t="s">
        <v>113</v>
      </c>
      <c r="T197" s="60" t="s">
        <v>113</v>
      </c>
      <c r="U197" s="60" t="s">
        <v>113</v>
      </c>
      <c r="V197" s="154" t="str">
        <f t="shared" ref="V197:V198" si="20">IF(ISERR(Q197*($V$2/30)^2),"",(Q197*($V$2/30)^2))</f>
        <v/>
      </c>
      <c r="W197" s="155" t="str">
        <f t="shared" ref="W197:W198" si="21">IF(ISERR(((V197/453.59)*$V$2/375)*746),"",(((V197/453.59)*$V$2/375)*746))</f>
        <v/>
      </c>
      <c r="X197" s="60" t="s">
        <v>113</v>
      </c>
      <c r="Y197" s="60" t="s">
        <v>113</v>
      </c>
      <c r="Z197" s="18" t="s">
        <v>113</v>
      </c>
      <c r="AA197" s="17" t="s">
        <v>113</v>
      </c>
      <c r="AB197" s="17"/>
      <c r="AC197" s="60" t="str">
        <f t="shared" si="4"/>
        <v/>
      </c>
    </row>
    <row r="198" spans="1:29" ht="13.5" thickBot="1" x14ac:dyDescent="0.25">
      <c r="A198" s="149" t="s">
        <v>114</v>
      </c>
      <c r="B198" s="50" t="s">
        <v>111</v>
      </c>
      <c r="C198" s="27">
        <v>0</v>
      </c>
      <c r="D198" s="36"/>
      <c r="E198" s="32">
        <v>2</v>
      </c>
      <c r="F198" s="60" t="s">
        <v>113</v>
      </c>
      <c r="G198" s="60" t="s">
        <v>113</v>
      </c>
      <c r="H198" s="60" t="s">
        <v>113</v>
      </c>
      <c r="I198" s="60" t="s">
        <v>113</v>
      </c>
      <c r="J198" s="148" t="s">
        <v>113</v>
      </c>
      <c r="K198" s="148" t="s">
        <v>113</v>
      </c>
      <c r="L198" s="148" t="s">
        <v>113</v>
      </c>
      <c r="M198" s="60" t="s">
        <v>113</v>
      </c>
      <c r="N198" s="60" t="s">
        <v>113</v>
      </c>
      <c r="O198" s="60" t="s">
        <v>113</v>
      </c>
      <c r="P198" s="60" t="s">
        <v>113</v>
      </c>
      <c r="Q198" s="59" t="s">
        <v>113</v>
      </c>
      <c r="R198" s="59" t="s">
        <v>113</v>
      </c>
      <c r="S198" s="60" t="s">
        <v>113</v>
      </c>
      <c r="T198" s="60" t="s">
        <v>113</v>
      </c>
      <c r="U198" s="60" t="s">
        <v>113</v>
      </c>
      <c r="V198" s="154" t="str">
        <f t="shared" si="20"/>
        <v/>
      </c>
      <c r="W198" s="155" t="str">
        <f t="shared" si="21"/>
        <v/>
      </c>
      <c r="X198" s="60" t="s">
        <v>113</v>
      </c>
      <c r="Y198" s="60" t="s">
        <v>113</v>
      </c>
      <c r="Z198" s="20" t="s">
        <v>113</v>
      </c>
      <c r="AA198" s="21" t="s">
        <v>113</v>
      </c>
      <c r="AB198" s="21"/>
      <c r="AC198" s="60" t="str">
        <f t="shared" si="4"/>
        <v/>
      </c>
    </row>
    <row r="199" spans="1:29" x14ac:dyDescent="0.2">
      <c r="A199" s="143" t="s">
        <v>114</v>
      </c>
      <c r="B199" s="28" t="s">
        <v>111</v>
      </c>
      <c r="C199" s="144">
        <v>0</v>
      </c>
      <c r="D199" s="145">
        <v>66</v>
      </c>
      <c r="E199" s="146" t="s">
        <v>112</v>
      </c>
      <c r="F199" s="7" t="s">
        <v>113</v>
      </c>
      <c r="G199" s="7" t="s">
        <v>113</v>
      </c>
      <c r="H199" s="7" t="s">
        <v>113</v>
      </c>
      <c r="I199" s="7" t="s">
        <v>113</v>
      </c>
      <c r="J199" s="147" t="s">
        <v>113</v>
      </c>
      <c r="K199" s="147" t="s">
        <v>113</v>
      </c>
      <c r="L199" s="147" t="s">
        <v>113</v>
      </c>
      <c r="M199" s="7" t="s">
        <v>113</v>
      </c>
      <c r="N199" s="7" t="s">
        <v>113</v>
      </c>
      <c r="O199" s="7" t="s">
        <v>113</v>
      </c>
      <c r="P199" s="7" t="s">
        <v>113</v>
      </c>
      <c r="Q199" s="147" t="s">
        <v>113</v>
      </c>
      <c r="R199" s="147" t="s">
        <v>113</v>
      </c>
      <c r="S199" s="7" t="s">
        <v>113</v>
      </c>
      <c r="T199" s="7" t="s">
        <v>113</v>
      </c>
      <c r="U199" s="147" t="s">
        <v>113</v>
      </c>
      <c r="V199" s="147" t="str">
        <f t="shared" ref="V199:W199" si="22">IF(ISERR(AVERAGE(V200:V201)),"",AVERAGE(V200:V201))</f>
        <v/>
      </c>
      <c r="W199" s="147" t="str">
        <f t="shared" si="22"/>
        <v/>
      </c>
      <c r="X199" s="7" t="s">
        <v>113</v>
      </c>
      <c r="Y199" s="7" t="s">
        <v>113</v>
      </c>
      <c r="Z199" s="7" t="s">
        <v>113</v>
      </c>
      <c r="AA199" s="7" t="s">
        <v>113</v>
      </c>
      <c r="AB199" s="12"/>
      <c r="AC199" s="7" t="str">
        <f t="shared" si="4"/>
        <v/>
      </c>
    </row>
    <row r="200" spans="1:29" x14ac:dyDescent="0.2">
      <c r="A200" s="143" t="s">
        <v>114</v>
      </c>
      <c r="B200" s="49" t="s">
        <v>111</v>
      </c>
      <c r="C200" s="26">
        <v>0</v>
      </c>
      <c r="D200" s="35"/>
      <c r="E200" s="31">
        <v>1</v>
      </c>
      <c r="F200" s="60" t="s">
        <v>113</v>
      </c>
      <c r="G200" s="60" t="s">
        <v>113</v>
      </c>
      <c r="H200" s="60" t="s">
        <v>113</v>
      </c>
      <c r="I200" s="60" t="s">
        <v>113</v>
      </c>
      <c r="J200" s="148" t="s">
        <v>113</v>
      </c>
      <c r="K200" s="148" t="s">
        <v>113</v>
      </c>
      <c r="L200" s="148" t="s">
        <v>113</v>
      </c>
      <c r="M200" s="60" t="s">
        <v>113</v>
      </c>
      <c r="N200" s="60" t="s">
        <v>113</v>
      </c>
      <c r="O200" s="60" t="s">
        <v>113</v>
      </c>
      <c r="P200" s="60" t="s">
        <v>113</v>
      </c>
      <c r="Q200" s="59" t="s">
        <v>113</v>
      </c>
      <c r="R200" s="59" t="s">
        <v>113</v>
      </c>
      <c r="S200" s="60" t="s">
        <v>113</v>
      </c>
      <c r="T200" s="60" t="s">
        <v>113</v>
      </c>
      <c r="U200" s="60" t="s">
        <v>113</v>
      </c>
      <c r="V200" s="154" t="str">
        <f t="shared" ref="V200:V201" si="23">IF(ISERR(Q200*($V$2/30)^2),"",(Q200*($V$2/30)^2))</f>
        <v/>
      </c>
      <c r="W200" s="155" t="str">
        <f t="shared" ref="W200:W201" si="24">IF(ISERR(((V200/453.59)*$V$2/375)*746),"",(((V200/453.59)*$V$2/375)*746))</f>
        <v/>
      </c>
      <c r="X200" s="60" t="s">
        <v>113</v>
      </c>
      <c r="Y200" s="60" t="s">
        <v>113</v>
      </c>
      <c r="Z200" s="18" t="s">
        <v>113</v>
      </c>
      <c r="AA200" s="17" t="s">
        <v>113</v>
      </c>
      <c r="AB200" s="17"/>
      <c r="AC200" s="60" t="str">
        <f t="shared" si="4"/>
        <v/>
      </c>
    </row>
    <row r="201" spans="1:29" ht="13.5" thickBot="1" x14ac:dyDescent="0.25">
      <c r="A201" s="149" t="s">
        <v>114</v>
      </c>
      <c r="B201" s="50" t="s">
        <v>111</v>
      </c>
      <c r="C201" s="27">
        <v>0</v>
      </c>
      <c r="D201" s="36"/>
      <c r="E201" s="32">
        <v>2</v>
      </c>
      <c r="F201" s="60" t="s">
        <v>113</v>
      </c>
      <c r="G201" s="60" t="s">
        <v>113</v>
      </c>
      <c r="H201" s="60" t="s">
        <v>113</v>
      </c>
      <c r="I201" s="60" t="s">
        <v>113</v>
      </c>
      <c r="J201" s="148" t="s">
        <v>113</v>
      </c>
      <c r="K201" s="148" t="s">
        <v>113</v>
      </c>
      <c r="L201" s="148" t="s">
        <v>113</v>
      </c>
      <c r="M201" s="60" t="s">
        <v>113</v>
      </c>
      <c r="N201" s="60" t="s">
        <v>113</v>
      </c>
      <c r="O201" s="60" t="s">
        <v>113</v>
      </c>
      <c r="P201" s="60" t="s">
        <v>113</v>
      </c>
      <c r="Q201" s="59" t="s">
        <v>113</v>
      </c>
      <c r="R201" s="59" t="s">
        <v>113</v>
      </c>
      <c r="S201" s="60" t="s">
        <v>113</v>
      </c>
      <c r="T201" s="60" t="s">
        <v>113</v>
      </c>
      <c r="U201" s="60" t="s">
        <v>113</v>
      </c>
      <c r="V201" s="154" t="str">
        <f t="shared" si="23"/>
        <v/>
      </c>
      <c r="W201" s="155" t="str">
        <f t="shared" si="24"/>
        <v/>
      </c>
      <c r="X201" s="60" t="s">
        <v>113</v>
      </c>
      <c r="Y201" s="60" t="s">
        <v>113</v>
      </c>
      <c r="Z201" s="20" t="s">
        <v>113</v>
      </c>
      <c r="AA201" s="21" t="s">
        <v>113</v>
      </c>
      <c r="AB201" s="21"/>
      <c r="AC201" s="60" t="str">
        <f t="shared" si="4"/>
        <v/>
      </c>
    </row>
    <row r="202" spans="1:29" x14ac:dyDescent="0.2">
      <c r="A202" s="143" t="s">
        <v>114</v>
      </c>
      <c r="B202" s="28" t="s">
        <v>111</v>
      </c>
      <c r="C202" s="144">
        <v>0</v>
      </c>
      <c r="D202" s="145">
        <v>67</v>
      </c>
      <c r="E202" s="146" t="s">
        <v>112</v>
      </c>
      <c r="F202" s="7" t="s">
        <v>113</v>
      </c>
      <c r="G202" s="7" t="s">
        <v>113</v>
      </c>
      <c r="H202" s="7" t="s">
        <v>113</v>
      </c>
      <c r="I202" s="7" t="s">
        <v>113</v>
      </c>
      <c r="J202" s="147" t="s">
        <v>113</v>
      </c>
      <c r="K202" s="147" t="s">
        <v>113</v>
      </c>
      <c r="L202" s="147" t="s">
        <v>113</v>
      </c>
      <c r="M202" s="7" t="s">
        <v>113</v>
      </c>
      <c r="N202" s="7" t="s">
        <v>113</v>
      </c>
      <c r="O202" s="7" t="s">
        <v>113</v>
      </c>
      <c r="P202" s="7" t="s">
        <v>113</v>
      </c>
      <c r="Q202" s="147" t="s">
        <v>113</v>
      </c>
      <c r="R202" s="147" t="s">
        <v>113</v>
      </c>
      <c r="S202" s="7" t="s">
        <v>113</v>
      </c>
      <c r="T202" s="7" t="s">
        <v>113</v>
      </c>
      <c r="U202" s="147" t="s">
        <v>113</v>
      </c>
      <c r="V202" s="147" t="str">
        <f t="shared" ref="V202:W202" si="25">IF(ISERR(AVERAGE(V203:V204)),"",AVERAGE(V203:V204))</f>
        <v/>
      </c>
      <c r="W202" s="147" t="str">
        <f t="shared" si="25"/>
        <v/>
      </c>
      <c r="X202" s="7" t="s">
        <v>113</v>
      </c>
      <c r="Y202" s="7" t="s">
        <v>113</v>
      </c>
      <c r="Z202" s="7" t="s">
        <v>113</v>
      </c>
      <c r="AA202" s="7" t="s">
        <v>113</v>
      </c>
      <c r="AB202" s="12"/>
      <c r="AC202" s="7" t="str">
        <f t="shared" si="4"/>
        <v/>
      </c>
    </row>
    <row r="203" spans="1:29" x14ac:dyDescent="0.2">
      <c r="A203" s="143" t="s">
        <v>114</v>
      </c>
      <c r="B203" s="49" t="s">
        <v>111</v>
      </c>
      <c r="C203" s="26">
        <v>0</v>
      </c>
      <c r="D203" s="35"/>
      <c r="E203" s="31">
        <v>1</v>
      </c>
      <c r="F203" s="60" t="s">
        <v>113</v>
      </c>
      <c r="G203" s="60" t="s">
        <v>113</v>
      </c>
      <c r="H203" s="60" t="s">
        <v>113</v>
      </c>
      <c r="I203" s="60" t="s">
        <v>113</v>
      </c>
      <c r="J203" s="148" t="s">
        <v>113</v>
      </c>
      <c r="K203" s="148" t="s">
        <v>113</v>
      </c>
      <c r="L203" s="148" t="s">
        <v>113</v>
      </c>
      <c r="M203" s="60" t="s">
        <v>113</v>
      </c>
      <c r="N203" s="60" t="s">
        <v>113</v>
      </c>
      <c r="O203" s="60" t="s">
        <v>113</v>
      </c>
      <c r="P203" s="60" t="s">
        <v>113</v>
      </c>
      <c r="Q203" s="59" t="s">
        <v>113</v>
      </c>
      <c r="R203" s="59" t="s">
        <v>113</v>
      </c>
      <c r="S203" s="60" t="s">
        <v>113</v>
      </c>
      <c r="T203" s="60" t="s">
        <v>113</v>
      </c>
      <c r="U203" s="60" t="s">
        <v>113</v>
      </c>
      <c r="V203" s="154" t="str">
        <f t="shared" ref="V203:V204" si="26">IF(ISERR(Q203*($V$2/30)^2),"",(Q203*($V$2/30)^2))</f>
        <v/>
      </c>
      <c r="W203" s="155" t="str">
        <f t="shared" ref="W203:W204" si="27">IF(ISERR(((V203/453.59)*$V$2/375)*746),"",(((V203/453.59)*$V$2/375)*746))</f>
        <v/>
      </c>
      <c r="X203" s="60" t="s">
        <v>113</v>
      </c>
      <c r="Y203" s="60" t="s">
        <v>113</v>
      </c>
      <c r="Z203" s="18" t="s">
        <v>113</v>
      </c>
      <c r="AA203" s="17" t="s">
        <v>113</v>
      </c>
      <c r="AB203" s="17"/>
      <c r="AC203" s="60" t="str">
        <f t="shared" si="4"/>
        <v/>
      </c>
    </row>
    <row r="204" spans="1:29" ht="13.5" thickBot="1" x14ac:dyDescent="0.25">
      <c r="A204" s="149" t="s">
        <v>114</v>
      </c>
      <c r="B204" s="50" t="s">
        <v>111</v>
      </c>
      <c r="C204" s="27">
        <v>0</v>
      </c>
      <c r="D204" s="36"/>
      <c r="E204" s="32">
        <v>2</v>
      </c>
      <c r="F204" s="60" t="s">
        <v>113</v>
      </c>
      <c r="G204" s="60" t="s">
        <v>113</v>
      </c>
      <c r="H204" s="60" t="s">
        <v>113</v>
      </c>
      <c r="I204" s="60" t="s">
        <v>113</v>
      </c>
      <c r="J204" s="148" t="s">
        <v>113</v>
      </c>
      <c r="K204" s="148" t="s">
        <v>113</v>
      </c>
      <c r="L204" s="148" t="s">
        <v>113</v>
      </c>
      <c r="M204" s="60" t="s">
        <v>113</v>
      </c>
      <c r="N204" s="60" t="s">
        <v>113</v>
      </c>
      <c r="O204" s="60" t="s">
        <v>113</v>
      </c>
      <c r="P204" s="60" t="s">
        <v>113</v>
      </c>
      <c r="Q204" s="59" t="s">
        <v>113</v>
      </c>
      <c r="R204" s="59" t="s">
        <v>113</v>
      </c>
      <c r="S204" s="60" t="s">
        <v>113</v>
      </c>
      <c r="T204" s="60" t="s">
        <v>113</v>
      </c>
      <c r="U204" s="60" t="s">
        <v>113</v>
      </c>
      <c r="V204" s="154" t="str">
        <f t="shared" si="26"/>
        <v/>
      </c>
      <c r="W204" s="155" t="str">
        <f t="shared" si="27"/>
        <v/>
      </c>
      <c r="X204" s="60" t="s">
        <v>113</v>
      </c>
      <c r="Y204" s="60" t="s">
        <v>113</v>
      </c>
      <c r="Z204" s="20" t="s">
        <v>113</v>
      </c>
      <c r="AA204" s="21" t="s">
        <v>113</v>
      </c>
      <c r="AB204" s="21"/>
      <c r="AC204" s="60" t="str">
        <f t="shared" si="4"/>
        <v/>
      </c>
    </row>
    <row r="205" spans="1:29" x14ac:dyDescent="0.2">
      <c r="A205" s="143" t="s">
        <v>114</v>
      </c>
      <c r="B205" s="28" t="s">
        <v>111</v>
      </c>
      <c r="C205" s="144">
        <v>0</v>
      </c>
      <c r="D205" s="145">
        <v>68</v>
      </c>
      <c r="E205" s="146" t="s">
        <v>112</v>
      </c>
      <c r="F205" s="7" t="s">
        <v>113</v>
      </c>
      <c r="G205" s="7" t="s">
        <v>113</v>
      </c>
      <c r="H205" s="7" t="s">
        <v>113</v>
      </c>
      <c r="I205" s="7" t="s">
        <v>113</v>
      </c>
      <c r="J205" s="147" t="s">
        <v>113</v>
      </c>
      <c r="K205" s="147" t="s">
        <v>113</v>
      </c>
      <c r="L205" s="147" t="s">
        <v>113</v>
      </c>
      <c r="M205" s="7" t="s">
        <v>113</v>
      </c>
      <c r="N205" s="7" t="s">
        <v>113</v>
      </c>
      <c r="O205" s="7" t="s">
        <v>113</v>
      </c>
      <c r="P205" s="7" t="s">
        <v>113</v>
      </c>
      <c r="Q205" s="147" t="s">
        <v>113</v>
      </c>
      <c r="R205" s="147" t="s">
        <v>113</v>
      </c>
      <c r="S205" s="7" t="s">
        <v>113</v>
      </c>
      <c r="T205" s="7" t="s">
        <v>113</v>
      </c>
      <c r="U205" s="147" t="s">
        <v>113</v>
      </c>
      <c r="V205" s="147" t="str">
        <f t="shared" ref="V205:W205" si="28">IF(ISERR(AVERAGE(V206:V207)),"",AVERAGE(V206:V207))</f>
        <v/>
      </c>
      <c r="W205" s="147" t="str">
        <f t="shared" si="28"/>
        <v/>
      </c>
      <c r="X205" s="7" t="s">
        <v>113</v>
      </c>
      <c r="Y205" s="7" t="s">
        <v>113</v>
      </c>
      <c r="Z205" s="7" t="s">
        <v>113</v>
      </c>
      <c r="AA205" s="7" t="s">
        <v>113</v>
      </c>
      <c r="AB205" s="12"/>
      <c r="AC205" s="7" t="str">
        <f t="shared" si="4"/>
        <v/>
      </c>
    </row>
    <row r="206" spans="1:29" x14ac:dyDescent="0.2">
      <c r="A206" s="143" t="s">
        <v>114</v>
      </c>
      <c r="B206" s="49" t="s">
        <v>111</v>
      </c>
      <c r="C206" s="26">
        <v>0</v>
      </c>
      <c r="D206" s="35"/>
      <c r="E206" s="31">
        <v>1</v>
      </c>
      <c r="F206" s="60" t="s">
        <v>113</v>
      </c>
      <c r="G206" s="60" t="s">
        <v>113</v>
      </c>
      <c r="H206" s="60" t="s">
        <v>113</v>
      </c>
      <c r="I206" s="60" t="s">
        <v>113</v>
      </c>
      <c r="J206" s="148" t="s">
        <v>113</v>
      </c>
      <c r="K206" s="148" t="s">
        <v>113</v>
      </c>
      <c r="L206" s="148" t="s">
        <v>113</v>
      </c>
      <c r="M206" s="60" t="s">
        <v>113</v>
      </c>
      <c r="N206" s="60" t="s">
        <v>113</v>
      </c>
      <c r="O206" s="60" t="s">
        <v>113</v>
      </c>
      <c r="P206" s="60" t="s">
        <v>113</v>
      </c>
      <c r="Q206" s="59" t="s">
        <v>113</v>
      </c>
      <c r="R206" s="59" t="s">
        <v>113</v>
      </c>
      <c r="S206" s="60" t="s">
        <v>113</v>
      </c>
      <c r="T206" s="60" t="s">
        <v>113</v>
      </c>
      <c r="U206" s="60" t="s">
        <v>113</v>
      </c>
      <c r="V206" s="154" t="str">
        <f t="shared" ref="V206:V207" si="29">IF(ISERR(Q206*($V$2/30)^2),"",(Q206*($V$2/30)^2))</f>
        <v/>
      </c>
      <c r="W206" s="155" t="str">
        <f t="shared" ref="W206:W207" si="30">IF(ISERR(((V206/453.59)*$V$2/375)*746),"",(((V206/453.59)*$V$2/375)*746))</f>
        <v/>
      </c>
      <c r="X206" s="60" t="s">
        <v>113</v>
      </c>
      <c r="Y206" s="60" t="s">
        <v>113</v>
      </c>
      <c r="Z206" s="18" t="s">
        <v>113</v>
      </c>
      <c r="AA206" s="17" t="s">
        <v>113</v>
      </c>
      <c r="AB206" s="17"/>
      <c r="AC206" s="60" t="str">
        <f t="shared" si="4"/>
        <v/>
      </c>
    </row>
    <row r="207" spans="1:29" ht="13.5" thickBot="1" x14ac:dyDescent="0.25">
      <c r="A207" s="149" t="s">
        <v>114</v>
      </c>
      <c r="B207" s="50" t="s">
        <v>111</v>
      </c>
      <c r="C207" s="27">
        <v>0</v>
      </c>
      <c r="D207" s="36"/>
      <c r="E207" s="32">
        <v>2</v>
      </c>
      <c r="F207" s="60" t="s">
        <v>113</v>
      </c>
      <c r="G207" s="60" t="s">
        <v>113</v>
      </c>
      <c r="H207" s="60" t="s">
        <v>113</v>
      </c>
      <c r="I207" s="60" t="s">
        <v>113</v>
      </c>
      <c r="J207" s="148" t="s">
        <v>113</v>
      </c>
      <c r="K207" s="148" t="s">
        <v>113</v>
      </c>
      <c r="L207" s="148" t="s">
        <v>113</v>
      </c>
      <c r="M207" s="60" t="s">
        <v>113</v>
      </c>
      <c r="N207" s="60" t="s">
        <v>113</v>
      </c>
      <c r="O207" s="60" t="s">
        <v>113</v>
      </c>
      <c r="P207" s="60" t="s">
        <v>113</v>
      </c>
      <c r="Q207" s="59" t="s">
        <v>113</v>
      </c>
      <c r="R207" s="59" t="s">
        <v>113</v>
      </c>
      <c r="S207" s="60" t="s">
        <v>113</v>
      </c>
      <c r="T207" s="60" t="s">
        <v>113</v>
      </c>
      <c r="U207" s="60" t="s">
        <v>113</v>
      </c>
      <c r="V207" s="154" t="str">
        <f t="shared" si="29"/>
        <v/>
      </c>
      <c r="W207" s="155" t="str">
        <f t="shared" si="30"/>
        <v/>
      </c>
      <c r="X207" s="60" t="s">
        <v>113</v>
      </c>
      <c r="Y207" s="60" t="s">
        <v>113</v>
      </c>
      <c r="Z207" s="20" t="s">
        <v>113</v>
      </c>
      <c r="AA207" s="21" t="s">
        <v>113</v>
      </c>
      <c r="AB207" s="21"/>
      <c r="AC207" s="60" t="str">
        <f t="shared" si="4"/>
        <v/>
      </c>
    </row>
    <row r="208" spans="1:29" x14ac:dyDescent="0.2">
      <c r="A208" s="143" t="s">
        <v>114</v>
      </c>
      <c r="B208" s="28" t="s">
        <v>111</v>
      </c>
      <c r="C208" s="144">
        <v>0</v>
      </c>
      <c r="D208" s="145">
        <v>69</v>
      </c>
      <c r="E208" s="146" t="s">
        <v>112</v>
      </c>
      <c r="F208" s="7" t="s">
        <v>113</v>
      </c>
      <c r="G208" s="7" t="s">
        <v>113</v>
      </c>
      <c r="H208" s="7" t="s">
        <v>113</v>
      </c>
      <c r="I208" s="7" t="s">
        <v>113</v>
      </c>
      <c r="J208" s="147" t="s">
        <v>113</v>
      </c>
      <c r="K208" s="147" t="s">
        <v>113</v>
      </c>
      <c r="L208" s="147" t="s">
        <v>113</v>
      </c>
      <c r="M208" s="7" t="s">
        <v>113</v>
      </c>
      <c r="N208" s="7" t="s">
        <v>113</v>
      </c>
      <c r="O208" s="7" t="s">
        <v>113</v>
      </c>
      <c r="P208" s="7" t="s">
        <v>113</v>
      </c>
      <c r="Q208" s="147" t="s">
        <v>113</v>
      </c>
      <c r="R208" s="147" t="s">
        <v>113</v>
      </c>
      <c r="S208" s="7" t="s">
        <v>113</v>
      </c>
      <c r="T208" s="7" t="s">
        <v>113</v>
      </c>
      <c r="U208" s="147" t="s">
        <v>113</v>
      </c>
      <c r="V208" s="147" t="str">
        <f t="shared" ref="V208:W208" si="31">IF(ISERR(AVERAGE(V209:V210)),"",AVERAGE(V209:V210))</f>
        <v/>
      </c>
      <c r="W208" s="147" t="str">
        <f t="shared" si="31"/>
        <v/>
      </c>
      <c r="X208" s="7" t="s">
        <v>113</v>
      </c>
      <c r="Y208" s="7" t="s">
        <v>113</v>
      </c>
      <c r="Z208" s="7" t="s">
        <v>113</v>
      </c>
      <c r="AA208" s="7" t="s">
        <v>113</v>
      </c>
      <c r="AB208" s="12"/>
      <c r="AC208" s="7" t="str">
        <f t="shared" si="4"/>
        <v/>
      </c>
    </row>
    <row r="209" spans="1:29" x14ac:dyDescent="0.2">
      <c r="A209" s="143" t="s">
        <v>114</v>
      </c>
      <c r="B209" s="49" t="s">
        <v>111</v>
      </c>
      <c r="C209" s="26">
        <v>0</v>
      </c>
      <c r="D209" s="35"/>
      <c r="E209" s="31">
        <v>1</v>
      </c>
      <c r="F209" s="60" t="s">
        <v>113</v>
      </c>
      <c r="G209" s="60" t="s">
        <v>113</v>
      </c>
      <c r="H209" s="60" t="s">
        <v>113</v>
      </c>
      <c r="I209" s="60" t="s">
        <v>113</v>
      </c>
      <c r="J209" s="148" t="s">
        <v>113</v>
      </c>
      <c r="K209" s="148" t="s">
        <v>113</v>
      </c>
      <c r="L209" s="148" t="s">
        <v>113</v>
      </c>
      <c r="M209" s="60" t="s">
        <v>113</v>
      </c>
      <c r="N209" s="60" t="s">
        <v>113</v>
      </c>
      <c r="O209" s="60" t="s">
        <v>113</v>
      </c>
      <c r="P209" s="60" t="s">
        <v>113</v>
      </c>
      <c r="Q209" s="59" t="s">
        <v>113</v>
      </c>
      <c r="R209" s="59" t="s">
        <v>113</v>
      </c>
      <c r="S209" s="60" t="s">
        <v>113</v>
      </c>
      <c r="T209" s="60" t="s">
        <v>113</v>
      </c>
      <c r="U209" s="60" t="s">
        <v>113</v>
      </c>
      <c r="V209" s="154" t="str">
        <f t="shared" ref="V209:V210" si="32">IF(ISERR(Q209*($V$2/30)^2),"",(Q209*($V$2/30)^2))</f>
        <v/>
      </c>
      <c r="W209" s="155" t="str">
        <f t="shared" ref="W209:W210" si="33">IF(ISERR(((V209/453.59)*$V$2/375)*746),"",(((V209/453.59)*$V$2/375)*746))</f>
        <v/>
      </c>
      <c r="X209" s="60" t="s">
        <v>113</v>
      </c>
      <c r="Y209" s="60" t="s">
        <v>113</v>
      </c>
      <c r="Z209" s="18" t="s">
        <v>113</v>
      </c>
      <c r="AA209" s="17" t="s">
        <v>113</v>
      </c>
      <c r="AB209" s="17"/>
      <c r="AC209" s="60" t="str">
        <f t="shared" si="4"/>
        <v/>
      </c>
    </row>
    <row r="210" spans="1:29" ht="13.5" thickBot="1" x14ac:dyDescent="0.25">
      <c r="A210" s="149" t="s">
        <v>114</v>
      </c>
      <c r="B210" s="50" t="s">
        <v>111</v>
      </c>
      <c r="C210" s="27">
        <v>0</v>
      </c>
      <c r="D210" s="36"/>
      <c r="E210" s="32">
        <v>2</v>
      </c>
      <c r="F210" s="60" t="s">
        <v>113</v>
      </c>
      <c r="G210" s="60" t="s">
        <v>113</v>
      </c>
      <c r="H210" s="60" t="s">
        <v>113</v>
      </c>
      <c r="I210" s="60" t="s">
        <v>113</v>
      </c>
      <c r="J210" s="148" t="s">
        <v>113</v>
      </c>
      <c r="K210" s="148" t="s">
        <v>113</v>
      </c>
      <c r="L210" s="148" t="s">
        <v>113</v>
      </c>
      <c r="M210" s="60" t="s">
        <v>113</v>
      </c>
      <c r="N210" s="60" t="s">
        <v>113</v>
      </c>
      <c r="O210" s="60" t="s">
        <v>113</v>
      </c>
      <c r="P210" s="60" t="s">
        <v>113</v>
      </c>
      <c r="Q210" s="59" t="s">
        <v>113</v>
      </c>
      <c r="R210" s="59" t="s">
        <v>113</v>
      </c>
      <c r="S210" s="60" t="s">
        <v>113</v>
      </c>
      <c r="T210" s="60" t="s">
        <v>113</v>
      </c>
      <c r="U210" s="60" t="s">
        <v>113</v>
      </c>
      <c r="V210" s="154" t="str">
        <f t="shared" si="32"/>
        <v/>
      </c>
      <c r="W210" s="155" t="str">
        <f t="shared" si="33"/>
        <v/>
      </c>
      <c r="X210" s="60" t="s">
        <v>113</v>
      </c>
      <c r="Y210" s="60" t="s">
        <v>113</v>
      </c>
      <c r="Z210" s="20" t="s">
        <v>113</v>
      </c>
      <c r="AA210" s="21" t="s">
        <v>113</v>
      </c>
      <c r="AB210" s="21"/>
      <c r="AC210" s="60" t="str">
        <f t="shared" si="4"/>
        <v/>
      </c>
    </row>
    <row r="211" spans="1:29" x14ac:dyDescent="0.2">
      <c r="A211" s="143" t="s">
        <v>114</v>
      </c>
      <c r="B211" s="28" t="s">
        <v>111</v>
      </c>
      <c r="C211" s="144">
        <v>0</v>
      </c>
      <c r="D211" s="145">
        <v>70</v>
      </c>
      <c r="E211" s="146" t="s">
        <v>112</v>
      </c>
      <c r="F211" s="7" t="s">
        <v>113</v>
      </c>
      <c r="G211" s="7" t="s">
        <v>113</v>
      </c>
      <c r="H211" s="7" t="s">
        <v>113</v>
      </c>
      <c r="I211" s="7" t="s">
        <v>113</v>
      </c>
      <c r="J211" s="147" t="s">
        <v>113</v>
      </c>
      <c r="K211" s="147" t="s">
        <v>113</v>
      </c>
      <c r="L211" s="147" t="s">
        <v>113</v>
      </c>
      <c r="M211" s="7" t="s">
        <v>113</v>
      </c>
      <c r="N211" s="7" t="s">
        <v>113</v>
      </c>
      <c r="O211" s="7" t="s">
        <v>113</v>
      </c>
      <c r="P211" s="7" t="s">
        <v>113</v>
      </c>
      <c r="Q211" s="147" t="s">
        <v>113</v>
      </c>
      <c r="R211" s="147" t="s">
        <v>113</v>
      </c>
      <c r="S211" s="7" t="s">
        <v>113</v>
      </c>
      <c r="T211" s="7" t="s">
        <v>113</v>
      </c>
      <c r="U211" s="147" t="s">
        <v>113</v>
      </c>
      <c r="V211" s="147" t="str">
        <f t="shared" ref="V211:W211" si="34">IF(ISERR(AVERAGE(V212:V213)),"",AVERAGE(V212:V213))</f>
        <v/>
      </c>
      <c r="W211" s="147" t="str">
        <f t="shared" si="34"/>
        <v/>
      </c>
      <c r="X211" s="7" t="s">
        <v>113</v>
      </c>
      <c r="Y211" s="7" t="s">
        <v>113</v>
      </c>
      <c r="Z211" s="7" t="s">
        <v>113</v>
      </c>
      <c r="AA211" s="7" t="s">
        <v>113</v>
      </c>
      <c r="AB211" s="12"/>
      <c r="AC211" s="7" t="str">
        <f t="shared" si="4"/>
        <v/>
      </c>
    </row>
    <row r="212" spans="1:29" x14ac:dyDescent="0.2">
      <c r="A212" s="143" t="s">
        <v>114</v>
      </c>
      <c r="B212" s="49" t="s">
        <v>111</v>
      </c>
      <c r="C212" s="26">
        <v>0</v>
      </c>
      <c r="D212" s="35"/>
      <c r="E212" s="31">
        <v>1</v>
      </c>
      <c r="F212" s="60" t="s">
        <v>113</v>
      </c>
      <c r="G212" s="60" t="s">
        <v>113</v>
      </c>
      <c r="H212" s="60" t="s">
        <v>113</v>
      </c>
      <c r="I212" s="60" t="s">
        <v>113</v>
      </c>
      <c r="J212" s="148" t="s">
        <v>113</v>
      </c>
      <c r="K212" s="148" t="s">
        <v>113</v>
      </c>
      <c r="L212" s="148" t="s">
        <v>113</v>
      </c>
      <c r="M212" s="60" t="s">
        <v>113</v>
      </c>
      <c r="N212" s="60" t="s">
        <v>113</v>
      </c>
      <c r="O212" s="60" t="s">
        <v>113</v>
      </c>
      <c r="P212" s="60" t="s">
        <v>113</v>
      </c>
      <c r="Q212" s="59" t="s">
        <v>113</v>
      </c>
      <c r="R212" s="59" t="s">
        <v>113</v>
      </c>
      <c r="S212" s="60" t="s">
        <v>113</v>
      </c>
      <c r="T212" s="60" t="s">
        <v>113</v>
      </c>
      <c r="U212" s="60" t="s">
        <v>113</v>
      </c>
      <c r="V212" s="154" t="str">
        <f t="shared" ref="V212:V213" si="35">IF(ISERR(Q212*($V$2/30)^2),"",(Q212*($V$2/30)^2))</f>
        <v/>
      </c>
      <c r="W212" s="155" t="str">
        <f t="shared" ref="W212:W213" si="36">IF(ISERR(((V212/453.59)*$V$2/375)*746),"",(((V212/453.59)*$V$2/375)*746))</f>
        <v/>
      </c>
      <c r="X212" s="60" t="s">
        <v>113</v>
      </c>
      <c r="Y212" s="60" t="s">
        <v>113</v>
      </c>
      <c r="Z212" s="18" t="s">
        <v>113</v>
      </c>
      <c r="AA212" s="17" t="s">
        <v>113</v>
      </c>
      <c r="AB212" s="17"/>
      <c r="AC212" s="60" t="str">
        <f t="shared" si="4"/>
        <v/>
      </c>
    </row>
    <row r="213" spans="1:29" ht="13.5" thickBot="1" x14ac:dyDescent="0.25">
      <c r="A213" s="149" t="s">
        <v>114</v>
      </c>
      <c r="B213" s="50" t="s">
        <v>111</v>
      </c>
      <c r="C213" s="27">
        <v>0</v>
      </c>
      <c r="D213" s="36"/>
      <c r="E213" s="32">
        <v>2</v>
      </c>
      <c r="F213" s="60" t="s">
        <v>113</v>
      </c>
      <c r="G213" s="60" t="s">
        <v>113</v>
      </c>
      <c r="H213" s="60" t="s">
        <v>113</v>
      </c>
      <c r="I213" s="60" t="s">
        <v>113</v>
      </c>
      <c r="J213" s="148" t="s">
        <v>113</v>
      </c>
      <c r="K213" s="148" t="s">
        <v>113</v>
      </c>
      <c r="L213" s="148" t="s">
        <v>113</v>
      </c>
      <c r="M213" s="60" t="s">
        <v>113</v>
      </c>
      <c r="N213" s="60" t="s">
        <v>113</v>
      </c>
      <c r="O213" s="60" t="s">
        <v>113</v>
      </c>
      <c r="P213" s="60" t="s">
        <v>113</v>
      </c>
      <c r="Q213" s="59" t="s">
        <v>113</v>
      </c>
      <c r="R213" s="59" t="s">
        <v>113</v>
      </c>
      <c r="S213" s="60" t="s">
        <v>113</v>
      </c>
      <c r="T213" s="60" t="s">
        <v>113</v>
      </c>
      <c r="U213" s="60" t="s">
        <v>113</v>
      </c>
      <c r="V213" s="154" t="str">
        <f t="shared" si="35"/>
        <v/>
      </c>
      <c r="W213" s="155" t="str">
        <f t="shared" si="36"/>
        <v/>
      </c>
      <c r="X213" s="60" t="s">
        <v>113</v>
      </c>
      <c r="Y213" s="60" t="s">
        <v>113</v>
      </c>
      <c r="Z213" s="20" t="s">
        <v>113</v>
      </c>
      <c r="AA213" s="21" t="s">
        <v>113</v>
      </c>
      <c r="AB213" s="21"/>
      <c r="AC213" s="60" t="str">
        <f t="shared" si="4"/>
        <v/>
      </c>
    </row>
    <row r="214" spans="1:29" x14ac:dyDescent="0.2">
      <c r="A214" s="143" t="s">
        <v>114</v>
      </c>
      <c r="B214" s="28" t="s">
        <v>111</v>
      </c>
      <c r="C214" s="144">
        <v>0</v>
      </c>
      <c r="D214" s="145">
        <v>71</v>
      </c>
      <c r="E214" s="146" t="s">
        <v>112</v>
      </c>
      <c r="F214" s="7" t="s">
        <v>113</v>
      </c>
      <c r="G214" s="7" t="s">
        <v>113</v>
      </c>
      <c r="H214" s="7" t="s">
        <v>113</v>
      </c>
      <c r="I214" s="7" t="s">
        <v>113</v>
      </c>
      <c r="J214" s="147" t="s">
        <v>113</v>
      </c>
      <c r="K214" s="147" t="s">
        <v>113</v>
      </c>
      <c r="L214" s="147" t="s">
        <v>113</v>
      </c>
      <c r="M214" s="7" t="s">
        <v>113</v>
      </c>
      <c r="N214" s="7" t="s">
        <v>113</v>
      </c>
      <c r="O214" s="7" t="s">
        <v>113</v>
      </c>
      <c r="P214" s="7" t="s">
        <v>113</v>
      </c>
      <c r="Q214" s="147" t="s">
        <v>113</v>
      </c>
      <c r="R214" s="147" t="s">
        <v>113</v>
      </c>
      <c r="S214" s="7" t="s">
        <v>113</v>
      </c>
      <c r="T214" s="7" t="s">
        <v>113</v>
      </c>
      <c r="U214" s="147" t="s">
        <v>113</v>
      </c>
      <c r="V214" s="147" t="str">
        <f t="shared" ref="V214:W214" si="37">IF(ISERR(AVERAGE(V215:V216)),"",AVERAGE(V215:V216))</f>
        <v/>
      </c>
      <c r="W214" s="147" t="str">
        <f t="shared" si="37"/>
        <v/>
      </c>
      <c r="X214" s="7" t="s">
        <v>113</v>
      </c>
      <c r="Y214" s="7" t="s">
        <v>113</v>
      </c>
      <c r="Z214" s="7" t="s">
        <v>113</v>
      </c>
      <c r="AA214" s="7" t="s">
        <v>113</v>
      </c>
      <c r="AB214" s="12"/>
      <c r="AC214" s="7" t="str">
        <f t="shared" si="4"/>
        <v/>
      </c>
    </row>
    <row r="215" spans="1:29" x14ac:dyDescent="0.2">
      <c r="A215" s="143" t="s">
        <v>114</v>
      </c>
      <c r="B215" s="49" t="s">
        <v>111</v>
      </c>
      <c r="C215" s="26">
        <v>0</v>
      </c>
      <c r="D215" s="35"/>
      <c r="E215" s="31">
        <v>1</v>
      </c>
      <c r="F215" s="60" t="s">
        <v>113</v>
      </c>
      <c r="G215" s="60" t="s">
        <v>113</v>
      </c>
      <c r="H215" s="60" t="s">
        <v>113</v>
      </c>
      <c r="I215" s="60" t="s">
        <v>113</v>
      </c>
      <c r="J215" s="148" t="s">
        <v>113</v>
      </c>
      <c r="K215" s="148" t="s">
        <v>113</v>
      </c>
      <c r="L215" s="148" t="s">
        <v>113</v>
      </c>
      <c r="M215" s="60" t="s">
        <v>113</v>
      </c>
      <c r="N215" s="60" t="s">
        <v>113</v>
      </c>
      <c r="O215" s="60" t="s">
        <v>113</v>
      </c>
      <c r="P215" s="60" t="s">
        <v>113</v>
      </c>
      <c r="Q215" s="59" t="s">
        <v>113</v>
      </c>
      <c r="R215" s="59" t="s">
        <v>113</v>
      </c>
      <c r="S215" s="60" t="s">
        <v>113</v>
      </c>
      <c r="T215" s="60" t="s">
        <v>113</v>
      </c>
      <c r="U215" s="60" t="s">
        <v>113</v>
      </c>
      <c r="V215" s="154" t="str">
        <f t="shared" ref="V215:V216" si="38">IF(ISERR(Q215*($V$2/30)^2),"",(Q215*($V$2/30)^2))</f>
        <v/>
      </c>
      <c r="W215" s="155" t="str">
        <f t="shared" ref="W215:W216" si="39">IF(ISERR(((V215/453.59)*$V$2/375)*746),"",(((V215/453.59)*$V$2/375)*746))</f>
        <v/>
      </c>
      <c r="X215" s="60" t="s">
        <v>113</v>
      </c>
      <c r="Y215" s="60" t="s">
        <v>113</v>
      </c>
      <c r="Z215" s="18" t="s">
        <v>113</v>
      </c>
      <c r="AA215" s="17" t="s">
        <v>113</v>
      </c>
      <c r="AB215" s="17"/>
      <c r="AC215" s="60" t="str">
        <f t="shared" si="4"/>
        <v/>
      </c>
    </row>
    <row r="216" spans="1:29" ht="13.5" thickBot="1" x14ac:dyDescent="0.25">
      <c r="A216" s="149" t="s">
        <v>114</v>
      </c>
      <c r="B216" s="50" t="s">
        <v>111</v>
      </c>
      <c r="C216" s="27">
        <v>0</v>
      </c>
      <c r="D216" s="36"/>
      <c r="E216" s="32">
        <v>2</v>
      </c>
      <c r="F216" s="60" t="s">
        <v>113</v>
      </c>
      <c r="G216" s="60" t="s">
        <v>113</v>
      </c>
      <c r="H216" s="60" t="s">
        <v>113</v>
      </c>
      <c r="I216" s="60" t="s">
        <v>113</v>
      </c>
      <c r="J216" s="148" t="s">
        <v>113</v>
      </c>
      <c r="K216" s="148" t="s">
        <v>113</v>
      </c>
      <c r="L216" s="148" t="s">
        <v>113</v>
      </c>
      <c r="M216" s="60" t="s">
        <v>113</v>
      </c>
      <c r="N216" s="60" t="s">
        <v>113</v>
      </c>
      <c r="O216" s="60" t="s">
        <v>113</v>
      </c>
      <c r="P216" s="60" t="s">
        <v>113</v>
      </c>
      <c r="Q216" s="59" t="s">
        <v>113</v>
      </c>
      <c r="R216" s="59" t="s">
        <v>113</v>
      </c>
      <c r="S216" s="60" t="s">
        <v>113</v>
      </c>
      <c r="T216" s="60" t="s">
        <v>113</v>
      </c>
      <c r="U216" s="60" t="s">
        <v>113</v>
      </c>
      <c r="V216" s="154" t="str">
        <f t="shared" si="38"/>
        <v/>
      </c>
      <c r="W216" s="155" t="str">
        <f t="shared" si="39"/>
        <v/>
      </c>
      <c r="X216" s="60" t="s">
        <v>113</v>
      </c>
      <c r="Y216" s="60" t="s">
        <v>113</v>
      </c>
      <c r="Z216" s="20" t="s">
        <v>113</v>
      </c>
      <c r="AA216" s="21" t="s">
        <v>113</v>
      </c>
      <c r="AB216" s="21"/>
      <c r="AC216" s="60" t="str">
        <f t="shared" si="4"/>
        <v/>
      </c>
    </row>
    <row r="217" spans="1:29" x14ac:dyDescent="0.2">
      <c r="A217" s="143" t="s">
        <v>114</v>
      </c>
      <c r="B217" s="28" t="s">
        <v>111</v>
      </c>
      <c r="C217" s="144">
        <v>0</v>
      </c>
      <c r="D217" s="145">
        <v>72</v>
      </c>
      <c r="E217" s="146" t="s">
        <v>112</v>
      </c>
      <c r="F217" s="7" t="s">
        <v>113</v>
      </c>
      <c r="G217" s="7" t="s">
        <v>113</v>
      </c>
      <c r="H217" s="7" t="s">
        <v>113</v>
      </c>
      <c r="I217" s="7" t="s">
        <v>113</v>
      </c>
      <c r="J217" s="147" t="s">
        <v>113</v>
      </c>
      <c r="K217" s="147" t="s">
        <v>113</v>
      </c>
      <c r="L217" s="147" t="s">
        <v>113</v>
      </c>
      <c r="M217" s="7" t="s">
        <v>113</v>
      </c>
      <c r="N217" s="7" t="s">
        <v>113</v>
      </c>
      <c r="O217" s="7" t="s">
        <v>113</v>
      </c>
      <c r="P217" s="7" t="s">
        <v>113</v>
      </c>
      <c r="Q217" s="147" t="s">
        <v>113</v>
      </c>
      <c r="R217" s="147" t="s">
        <v>113</v>
      </c>
      <c r="S217" s="7" t="s">
        <v>113</v>
      </c>
      <c r="T217" s="7" t="s">
        <v>113</v>
      </c>
      <c r="U217" s="147" t="s">
        <v>113</v>
      </c>
      <c r="V217" s="147" t="str">
        <f t="shared" ref="V217:W217" si="40">IF(ISERR(AVERAGE(V218:V219)),"",AVERAGE(V218:V219))</f>
        <v/>
      </c>
      <c r="W217" s="147" t="str">
        <f t="shared" si="40"/>
        <v/>
      </c>
      <c r="X217" s="7" t="s">
        <v>113</v>
      </c>
      <c r="Y217" s="7" t="s">
        <v>113</v>
      </c>
      <c r="Z217" s="7" t="s">
        <v>113</v>
      </c>
      <c r="AA217" s="7" t="s">
        <v>113</v>
      </c>
      <c r="AB217" s="12"/>
      <c r="AC217" s="7" t="str">
        <f t="shared" si="4"/>
        <v/>
      </c>
    </row>
    <row r="218" spans="1:29" x14ac:dyDescent="0.2">
      <c r="A218" s="143" t="s">
        <v>114</v>
      </c>
      <c r="B218" s="49" t="s">
        <v>111</v>
      </c>
      <c r="C218" s="26">
        <v>0</v>
      </c>
      <c r="D218" s="35"/>
      <c r="E218" s="31">
        <v>1</v>
      </c>
      <c r="F218" s="60" t="s">
        <v>113</v>
      </c>
      <c r="G218" s="60" t="s">
        <v>113</v>
      </c>
      <c r="H218" s="60" t="s">
        <v>113</v>
      </c>
      <c r="I218" s="60" t="s">
        <v>113</v>
      </c>
      <c r="J218" s="148" t="s">
        <v>113</v>
      </c>
      <c r="K218" s="148" t="s">
        <v>113</v>
      </c>
      <c r="L218" s="148" t="s">
        <v>113</v>
      </c>
      <c r="M218" s="60" t="s">
        <v>113</v>
      </c>
      <c r="N218" s="60" t="s">
        <v>113</v>
      </c>
      <c r="O218" s="60" t="s">
        <v>113</v>
      </c>
      <c r="P218" s="60" t="s">
        <v>113</v>
      </c>
      <c r="Q218" s="59" t="s">
        <v>113</v>
      </c>
      <c r="R218" s="59" t="s">
        <v>113</v>
      </c>
      <c r="S218" s="60" t="s">
        <v>113</v>
      </c>
      <c r="T218" s="60" t="s">
        <v>113</v>
      </c>
      <c r="U218" s="60" t="s">
        <v>113</v>
      </c>
      <c r="V218" s="154" t="str">
        <f t="shared" ref="V218:V219" si="41">IF(ISERR(Q218*($V$2/30)^2),"",(Q218*($V$2/30)^2))</f>
        <v/>
      </c>
      <c r="W218" s="155" t="str">
        <f t="shared" ref="W218:W219" si="42">IF(ISERR(((V218/453.59)*$V$2/375)*746),"",(((V218/453.59)*$V$2/375)*746))</f>
        <v/>
      </c>
      <c r="X218" s="60" t="s">
        <v>113</v>
      </c>
      <c r="Y218" s="60" t="s">
        <v>113</v>
      </c>
      <c r="Z218" s="18" t="s">
        <v>113</v>
      </c>
      <c r="AA218" s="17" t="s">
        <v>113</v>
      </c>
      <c r="AB218" s="17"/>
      <c r="AC218" s="60" t="str">
        <f t="shared" si="4"/>
        <v/>
      </c>
    </row>
    <row r="219" spans="1:29" ht="13.5" thickBot="1" x14ac:dyDescent="0.25">
      <c r="A219" s="149" t="s">
        <v>114</v>
      </c>
      <c r="B219" s="50" t="s">
        <v>111</v>
      </c>
      <c r="C219" s="27">
        <v>0</v>
      </c>
      <c r="D219" s="36"/>
      <c r="E219" s="32">
        <v>2</v>
      </c>
      <c r="F219" s="60" t="s">
        <v>113</v>
      </c>
      <c r="G219" s="60" t="s">
        <v>113</v>
      </c>
      <c r="H219" s="60" t="s">
        <v>113</v>
      </c>
      <c r="I219" s="60" t="s">
        <v>113</v>
      </c>
      <c r="J219" s="148" t="s">
        <v>113</v>
      </c>
      <c r="K219" s="148" t="s">
        <v>113</v>
      </c>
      <c r="L219" s="148" t="s">
        <v>113</v>
      </c>
      <c r="M219" s="60" t="s">
        <v>113</v>
      </c>
      <c r="N219" s="60" t="s">
        <v>113</v>
      </c>
      <c r="O219" s="60" t="s">
        <v>113</v>
      </c>
      <c r="P219" s="60" t="s">
        <v>113</v>
      </c>
      <c r="Q219" s="59" t="s">
        <v>113</v>
      </c>
      <c r="R219" s="59" t="s">
        <v>113</v>
      </c>
      <c r="S219" s="60" t="s">
        <v>113</v>
      </c>
      <c r="T219" s="60" t="s">
        <v>113</v>
      </c>
      <c r="U219" s="60" t="s">
        <v>113</v>
      </c>
      <c r="V219" s="154" t="str">
        <f t="shared" si="41"/>
        <v/>
      </c>
      <c r="W219" s="155" t="str">
        <f t="shared" si="42"/>
        <v/>
      </c>
      <c r="X219" s="60" t="s">
        <v>113</v>
      </c>
      <c r="Y219" s="60" t="s">
        <v>113</v>
      </c>
      <c r="Z219" s="20" t="s">
        <v>113</v>
      </c>
      <c r="AA219" s="21" t="s">
        <v>113</v>
      </c>
      <c r="AB219" s="21"/>
      <c r="AC219" s="60" t="str">
        <f t="shared" si="4"/>
        <v/>
      </c>
    </row>
    <row r="220" spans="1:29" x14ac:dyDescent="0.2">
      <c r="A220" s="143" t="s">
        <v>114</v>
      </c>
      <c r="B220" s="28" t="s">
        <v>111</v>
      </c>
      <c r="C220" s="144">
        <v>0</v>
      </c>
      <c r="D220" s="145">
        <v>73</v>
      </c>
      <c r="E220" s="146" t="s">
        <v>112</v>
      </c>
      <c r="F220" s="7" t="s">
        <v>113</v>
      </c>
      <c r="G220" s="7" t="s">
        <v>113</v>
      </c>
      <c r="H220" s="7" t="s">
        <v>113</v>
      </c>
      <c r="I220" s="7" t="s">
        <v>113</v>
      </c>
      <c r="J220" s="147" t="s">
        <v>113</v>
      </c>
      <c r="K220" s="147" t="s">
        <v>113</v>
      </c>
      <c r="L220" s="147" t="s">
        <v>113</v>
      </c>
      <c r="M220" s="7" t="s">
        <v>113</v>
      </c>
      <c r="N220" s="7" t="s">
        <v>113</v>
      </c>
      <c r="O220" s="7" t="s">
        <v>113</v>
      </c>
      <c r="P220" s="7" t="s">
        <v>113</v>
      </c>
      <c r="Q220" s="147" t="s">
        <v>113</v>
      </c>
      <c r="R220" s="147" t="s">
        <v>113</v>
      </c>
      <c r="S220" s="7" t="s">
        <v>113</v>
      </c>
      <c r="T220" s="7" t="s">
        <v>113</v>
      </c>
      <c r="U220" s="147" t="s">
        <v>113</v>
      </c>
      <c r="V220" s="147" t="str">
        <f t="shared" ref="V220:W220" si="43">IF(ISERR(AVERAGE(V221:V222)),"",AVERAGE(V221:V222))</f>
        <v/>
      </c>
      <c r="W220" s="147" t="str">
        <f t="shared" si="43"/>
        <v/>
      </c>
      <c r="X220" s="7" t="s">
        <v>113</v>
      </c>
      <c r="Y220" s="7" t="s">
        <v>113</v>
      </c>
      <c r="Z220" s="7" t="s">
        <v>113</v>
      </c>
      <c r="AA220" s="7" t="s">
        <v>113</v>
      </c>
      <c r="AB220" s="12"/>
      <c r="AC220" s="7" t="str">
        <f t="shared" si="4"/>
        <v/>
      </c>
    </row>
    <row r="221" spans="1:29" x14ac:dyDescent="0.2">
      <c r="A221" s="143" t="s">
        <v>114</v>
      </c>
      <c r="B221" s="49" t="s">
        <v>111</v>
      </c>
      <c r="C221" s="26">
        <v>0</v>
      </c>
      <c r="D221" s="35"/>
      <c r="E221" s="31">
        <v>1</v>
      </c>
      <c r="F221" s="60" t="s">
        <v>113</v>
      </c>
      <c r="G221" s="60" t="s">
        <v>113</v>
      </c>
      <c r="H221" s="60" t="s">
        <v>113</v>
      </c>
      <c r="I221" s="60" t="s">
        <v>113</v>
      </c>
      <c r="J221" s="148" t="s">
        <v>113</v>
      </c>
      <c r="K221" s="148" t="s">
        <v>113</v>
      </c>
      <c r="L221" s="148" t="s">
        <v>113</v>
      </c>
      <c r="M221" s="60" t="s">
        <v>113</v>
      </c>
      <c r="N221" s="60" t="s">
        <v>113</v>
      </c>
      <c r="O221" s="60" t="s">
        <v>113</v>
      </c>
      <c r="P221" s="60" t="s">
        <v>113</v>
      </c>
      <c r="Q221" s="59" t="s">
        <v>113</v>
      </c>
      <c r="R221" s="59" t="s">
        <v>113</v>
      </c>
      <c r="S221" s="60" t="s">
        <v>113</v>
      </c>
      <c r="T221" s="60" t="s">
        <v>113</v>
      </c>
      <c r="U221" s="60" t="s">
        <v>113</v>
      </c>
      <c r="V221" s="154" t="str">
        <f t="shared" ref="V221:V222" si="44">IF(ISERR(Q221*($V$2/30)^2),"",(Q221*($V$2/30)^2))</f>
        <v/>
      </c>
      <c r="W221" s="155" t="str">
        <f t="shared" ref="W221:W222" si="45">IF(ISERR(((V221/453.59)*$V$2/375)*746),"",(((V221/453.59)*$V$2/375)*746))</f>
        <v/>
      </c>
      <c r="X221" s="60" t="s">
        <v>113</v>
      </c>
      <c r="Y221" s="60" t="s">
        <v>113</v>
      </c>
      <c r="Z221" s="18" t="s">
        <v>113</v>
      </c>
      <c r="AA221" s="17" t="s">
        <v>113</v>
      </c>
      <c r="AB221" s="17"/>
      <c r="AC221" s="60" t="str">
        <f t="shared" si="4"/>
        <v/>
      </c>
    </row>
    <row r="222" spans="1:29" ht="13.5" thickBot="1" x14ac:dyDescent="0.25">
      <c r="A222" s="149" t="s">
        <v>114</v>
      </c>
      <c r="B222" s="50" t="s">
        <v>111</v>
      </c>
      <c r="C222" s="27">
        <v>0</v>
      </c>
      <c r="D222" s="36"/>
      <c r="E222" s="32">
        <v>2</v>
      </c>
      <c r="F222" s="60" t="s">
        <v>113</v>
      </c>
      <c r="G222" s="60" t="s">
        <v>113</v>
      </c>
      <c r="H222" s="60" t="s">
        <v>113</v>
      </c>
      <c r="I222" s="60" t="s">
        <v>113</v>
      </c>
      <c r="J222" s="148" t="s">
        <v>113</v>
      </c>
      <c r="K222" s="148" t="s">
        <v>113</v>
      </c>
      <c r="L222" s="148" t="s">
        <v>113</v>
      </c>
      <c r="M222" s="60" t="s">
        <v>113</v>
      </c>
      <c r="N222" s="60" t="s">
        <v>113</v>
      </c>
      <c r="O222" s="60" t="s">
        <v>113</v>
      </c>
      <c r="P222" s="60" t="s">
        <v>113</v>
      </c>
      <c r="Q222" s="59" t="s">
        <v>113</v>
      </c>
      <c r="R222" s="59" t="s">
        <v>113</v>
      </c>
      <c r="S222" s="60" t="s">
        <v>113</v>
      </c>
      <c r="T222" s="60" t="s">
        <v>113</v>
      </c>
      <c r="U222" s="60" t="s">
        <v>113</v>
      </c>
      <c r="V222" s="154" t="str">
        <f t="shared" si="44"/>
        <v/>
      </c>
      <c r="W222" s="155" t="str">
        <f t="shared" si="45"/>
        <v/>
      </c>
      <c r="X222" s="60" t="s">
        <v>113</v>
      </c>
      <c r="Y222" s="60" t="s">
        <v>113</v>
      </c>
      <c r="Z222" s="20" t="s">
        <v>113</v>
      </c>
      <c r="AA222" s="21" t="s">
        <v>113</v>
      </c>
      <c r="AB222" s="21"/>
      <c r="AC222" s="60" t="str">
        <f t="shared" si="4"/>
        <v/>
      </c>
    </row>
    <row r="223" spans="1:29" x14ac:dyDescent="0.2">
      <c r="A223" s="143" t="s">
        <v>114</v>
      </c>
      <c r="B223" s="28" t="s">
        <v>111</v>
      </c>
      <c r="C223" s="144">
        <v>0</v>
      </c>
      <c r="D223" s="145">
        <v>74</v>
      </c>
      <c r="E223" s="146" t="s">
        <v>112</v>
      </c>
      <c r="F223" s="7" t="s">
        <v>113</v>
      </c>
      <c r="G223" s="7" t="s">
        <v>113</v>
      </c>
      <c r="H223" s="7" t="s">
        <v>113</v>
      </c>
      <c r="I223" s="7" t="s">
        <v>113</v>
      </c>
      <c r="J223" s="147" t="s">
        <v>113</v>
      </c>
      <c r="K223" s="147" t="s">
        <v>113</v>
      </c>
      <c r="L223" s="147" t="s">
        <v>113</v>
      </c>
      <c r="M223" s="7" t="s">
        <v>113</v>
      </c>
      <c r="N223" s="7" t="s">
        <v>113</v>
      </c>
      <c r="O223" s="7" t="s">
        <v>113</v>
      </c>
      <c r="P223" s="7" t="s">
        <v>113</v>
      </c>
      <c r="Q223" s="147" t="s">
        <v>113</v>
      </c>
      <c r="R223" s="147" t="s">
        <v>113</v>
      </c>
      <c r="S223" s="7" t="s">
        <v>113</v>
      </c>
      <c r="T223" s="7" t="s">
        <v>113</v>
      </c>
      <c r="U223" s="147" t="s">
        <v>113</v>
      </c>
      <c r="V223" s="147" t="str">
        <f t="shared" ref="V223:W223" si="46">IF(ISERR(AVERAGE(V224:V225)),"",AVERAGE(V224:V225))</f>
        <v/>
      </c>
      <c r="W223" s="147" t="str">
        <f t="shared" si="46"/>
        <v/>
      </c>
      <c r="X223" s="7" t="s">
        <v>113</v>
      </c>
      <c r="Y223" s="7" t="s">
        <v>113</v>
      </c>
      <c r="Z223" s="7" t="s">
        <v>113</v>
      </c>
      <c r="AA223" s="7" t="s">
        <v>113</v>
      </c>
      <c r="AB223" s="12"/>
      <c r="AC223" s="7" t="str">
        <f t="shared" si="4"/>
        <v/>
      </c>
    </row>
    <row r="224" spans="1:29" x14ac:dyDescent="0.2">
      <c r="A224" s="143" t="s">
        <v>114</v>
      </c>
      <c r="B224" s="49" t="s">
        <v>111</v>
      </c>
      <c r="C224" s="26">
        <v>0</v>
      </c>
      <c r="D224" s="35"/>
      <c r="E224" s="31">
        <v>1</v>
      </c>
      <c r="F224" s="60" t="s">
        <v>113</v>
      </c>
      <c r="G224" s="60" t="s">
        <v>113</v>
      </c>
      <c r="H224" s="60" t="s">
        <v>113</v>
      </c>
      <c r="I224" s="60" t="s">
        <v>113</v>
      </c>
      <c r="J224" s="148" t="s">
        <v>113</v>
      </c>
      <c r="K224" s="148" t="s">
        <v>113</v>
      </c>
      <c r="L224" s="148" t="s">
        <v>113</v>
      </c>
      <c r="M224" s="60" t="s">
        <v>113</v>
      </c>
      <c r="N224" s="60" t="s">
        <v>113</v>
      </c>
      <c r="O224" s="60" t="s">
        <v>113</v>
      </c>
      <c r="P224" s="60" t="s">
        <v>113</v>
      </c>
      <c r="Q224" s="59" t="s">
        <v>113</v>
      </c>
      <c r="R224" s="59" t="s">
        <v>113</v>
      </c>
      <c r="S224" s="60" t="s">
        <v>113</v>
      </c>
      <c r="T224" s="60" t="s">
        <v>113</v>
      </c>
      <c r="U224" s="60" t="s">
        <v>113</v>
      </c>
      <c r="V224" s="154" t="str">
        <f t="shared" ref="V224:V225" si="47">IF(ISERR(Q224*($V$2/30)^2),"",(Q224*($V$2/30)^2))</f>
        <v/>
      </c>
      <c r="W224" s="155" t="str">
        <f t="shared" ref="W224:W225" si="48">IF(ISERR(((V224/453.59)*$V$2/375)*746),"",(((V224/453.59)*$V$2/375)*746))</f>
        <v/>
      </c>
      <c r="X224" s="60" t="s">
        <v>113</v>
      </c>
      <c r="Y224" s="60" t="s">
        <v>113</v>
      </c>
      <c r="Z224" s="18" t="s">
        <v>113</v>
      </c>
      <c r="AA224" s="17" t="s">
        <v>113</v>
      </c>
      <c r="AB224" s="17"/>
      <c r="AC224" s="60" t="str">
        <f t="shared" si="4"/>
        <v/>
      </c>
    </row>
    <row r="225" spans="1:29" ht="13.5" thickBot="1" x14ac:dyDescent="0.25">
      <c r="A225" s="149" t="s">
        <v>114</v>
      </c>
      <c r="B225" s="50" t="s">
        <v>111</v>
      </c>
      <c r="C225" s="27">
        <v>0</v>
      </c>
      <c r="D225" s="36"/>
      <c r="E225" s="32">
        <v>2</v>
      </c>
      <c r="F225" s="60" t="s">
        <v>113</v>
      </c>
      <c r="G225" s="60" t="s">
        <v>113</v>
      </c>
      <c r="H225" s="60" t="s">
        <v>113</v>
      </c>
      <c r="I225" s="60" t="s">
        <v>113</v>
      </c>
      <c r="J225" s="148" t="s">
        <v>113</v>
      </c>
      <c r="K225" s="148" t="s">
        <v>113</v>
      </c>
      <c r="L225" s="148" t="s">
        <v>113</v>
      </c>
      <c r="M225" s="60" t="s">
        <v>113</v>
      </c>
      <c r="N225" s="60" t="s">
        <v>113</v>
      </c>
      <c r="O225" s="60" t="s">
        <v>113</v>
      </c>
      <c r="P225" s="60" t="s">
        <v>113</v>
      </c>
      <c r="Q225" s="59" t="s">
        <v>113</v>
      </c>
      <c r="R225" s="59" t="s">
        <v>113</v>
      </c>
      <c r="S225" s="60" t="s">
        <v>113</v>
      </c>
      <c r="T225" s="60" t="s">
        <v>113</v>
      </c>
      <c r="U225" s="60" t="s">
        <v>113</v>
      </c>
      <c r="V225" s="154" t="str">
        <f t="shared" si="47"/>
        <v/>
      </c>
      <c r="W225" s="155" t="str">
        <f t="shared" si="48"/>
        <v/>
      </c>
      <c r="X225" s="60" t="s">
        <v>113</v>
      </c>
      <c r="Y225" s="60" t="s">
        <v>113</v>
      </c>
      <c r="Z225" s="20" t="s">
        <v>113</v>
      </c>
      <c r="AA225" s="21" t="s">
        <v>113</v>
      </c>
      <c r="AB225" s="21"/>
      <c r="AC225" s="60" t="str">
        <f t="shared" si="4"/>
        <v/>
      </c>
    </row>
    <row r="226" spans="1:29" x14ac:dyDescent="0.2">
      <c r="A226" s="143" t="s">
        <v>114</v>
      </c>
      <c r="B226" s="28" t="s">
        <v>111</v>
      </c>
      <c r="C226" s="144">
        <v>0</v>
      </c>
      <c r="D226" s="145">
        <v>75</v>
      </c>
      <c r="E226" s="146" t="s">
        <v>112</v>
      </c>
      <c r="F226" s="7" t="s">
        <v>113</v>
      </c>
      <c r="G226" s="7" t="s">
        <v>113</v>
      </c>
      <c r="H226" s="7" t="s">
        <v>113</v>
      </c>
      <c r="I226" s="7" t="s">
        <v>113</v>
      </c>
      <c r="J226" s="147" t="s">
        <v>113</v>
      </c>
      <c r="K226" s="147" t="s">
        <v>113</v>
      </c>
      <c r="L226" s="147" t="s">
        <v>113</v>
      </c>
      <c r="M226" s="7" t="s">
        <v>113</v>
      </c>
      <c r="N226" s="7" t="s">
        <v>113</v>
      </c>
      <c r="O226" s="7" t="s">
        <v>113</v>
      </c>
      <c r="P226" s="7" t="s">
        <v>113</v>
      </c>
      <c r="Q226" s="147" t="s">
        <v>113</v>
      </c>
      <c r="R226" s="147" t="s">
        <v>113</v>
      </c>
      <c r="S226" s="7" t="s">
        <v>113</v>
      </c>
      <c r="T226" s="7" t="s">
        <v>113</v>
      </c>
      <c r="U226" s="147" t="s">
        <v>113</v>
      </c>
      <c r="V226" s="147" t="str">
        <f t="shared" ref="V226:W226" si="49">IF(ISERR(AVERAGE(V227:V228)),"",AVERAGE(V227:V228))</f>
        <v/>
      </c>
      <c r="W226" s="147" t="str">
        <f t="shared" si="49"/>
        <v/>
      </c>
      <c r="X226" s="7" t="s">
        <v>113</v>
      </c>
      <c r="Y226" s="7" t="s">
        <v>113</v>
      </c>
      <c r="Z226" s="7" t="s">
        <v>113</v>
      </c>
      <c r="AA226" s="7" t="s">
        <v>113</v>
      </c>
      <c r="AB226" s="12"/>
      <c r="AC226" s="7" t="str">
        <f t="shared" si="4"/>
        <v/>
      </c>
    </row>
    <row r="227" spans="1:29" x14ac:dyDescent="0.2">
      <c r="A227" s="143" t="s">
        <v>114</v>
      </c>
      <c r="B227" s="49" t="s">
        <v>111</v>
      </c>
      <c r="C227" s="26">
        <v>0</v>
      </c>
      <c r="D227" s="35"/>
      <c r="E227" s="31">
        <v>1</v>
      </c>
      <c r="F227" s="60" t="s">
        <v>113</v>
      </c>
      <c r="G227" s="60" t="s">
        <v>113</v>
      </c>
      <c r="H227" s="60" t="s">
        <v>113</v>
      </c>
      <c r="I227" s="60" t="s">
        <v>113</v>
      </c>
      <c r="J227" s="148" t="s">
        <v>113</v>
      </c>
      <c r="K227" s="148" t="s">
        <v>113</v>
      </c>
      <c r="L227" s="148" t="s">
        <v>113</v>
      </c>
      <c r="M227" s="60" t="s">
        <v>113</v>
      </c>
      <c r="N227" s="60" t="s">
        <v>113</v>
      </c>
      <c r="O227" s="60" t="s">
        <v>113</v>
      </c>
      <c r="P227" s="60" t="s">
        <v>113</v>
      </c>
      <c r="Q227" s="59" t="s">
        <v>113</v>
      </c>
      <c r="R227" s="59" t="s">
        <v>113</v>
      </c>
      <c r="S227" s="60" t="s">
        <v>113</v>
      </c>
      <c r="T227" s="60" t="s">
        <v>113</v>
      </c>
      <c r="U227" s="60" t="s">
        <v>113</v>
      </c>
      <c r="V227" s="154" t="str">
        <f t="shared" ref="V227:V228" si="50">IF(ISERR(Q227*($V$2/30)^2),"",(Q227*($V$2/30)^2))</f>
        <v/>
      </c>
      <c r="W227" s="155" t="str">
        <f t="shared" ref="W227:W228" si="51">IF(ISERR(((V227/453.59)*$V$2/375)*746),"",(((V227/453.59)*$V$2/375)*746))</f>
        <v/>
      </c>
      <c r="X227" s="60" t="s">
        <v>113</v>
      </c>
      <c r="Y227" s="60" t="s">
        <v>113</v>
      </c>
      <c r="Z227" s="18" t="s">
        <v>113</v>
      </c>
      <c r="AA227" s="17" t="s">
        <v>113</v>
      </c>
      <c r="AB227" s="17"/>
      <c r="AC227" s="60" t="str">
        <f t="shared" si="4"/>
        <v/>
      </c>
    </row>
    <row r="228" spans="1:29" ht="13.5" thickBot="1" x14ac:dyDescent="0.25">
      <c r="A228" s="149" t="s">
        <v>114</v>
      </c>
      <c r="B228" s="50" t="s">
        <v>111</v>
      </c>
      <c r="C228" s="27">
        <v>0</v>
      </c>
      <c r="D228" s="36"/>
      <c r="E228" s="32">
        <v>2</v>
      </c>
      <c r="F228" s="60" t="s">
        <v>113</v>
      </c>
      <c r="G228" s="60" t="s">
        <v>113</v>
      </c>
      <c r="H228" s="60" t="s">
        <v>113</v>
      </c>
      <c r="I228" s="60" t="s">
        <v>113</v>
      </c>
      <c r="J228" s="148" t="s">
        <v>113</v>
      </c>
      <c r="K228" s="148" t="s">
        <v>113</v>
      </c>
      <c r="L228" s="148" t="s">
        <v>113</v>
      </c>
      <c r="M228" s="60" t="s">
        <v>113</v>
      </c>
      <c r="N228" s="60" t="s">
        <v>113</v>
      </c>
      <c r="O228" s="60" t="s">
        <v>113</v>
      </c>
      <c r="P228" s="60" t="s">
        <v>113</v>
      </c>
      <c r="Q228" s="59" t="s">
        <v>113</v>
      </c>
      <c r="R228" s="59" t="s">
        <v>113</v>
      </c>
      <c r="S228" s="60" t="s">
        <v>113</v>
      </c>
      <c r="T228" s="60" t="s">
        <v>113</v>
      </c>
      <c r="U228" s="60" t="s">
        <v>113</v>
      </c>
      <c r="V228" s="154" t="str">
        <f t="shared" si="50"/>
        <v/>
      </c>
      <c r="W228" s="155" t="str">
        <f t="shared" si="51"/>
        <v/>
      </c>
      <c r="X228" s="60" t="s">
        <v>113</v>
      </c>
      <c r="Y228" s="60" t="s">
        <v>113</v>
      </c>
      <c r="Z228" s="20" t="s">
        <v>113</v>
      </c>
      <c r="AA228" s="21" t="s">
        <v>113</v>
      </c>
      <c r="AB228" s="21"/>
      <c r="AC228" s="60" t="str">
        <f t="shared" si="4"/>
        <v/>
      </c>
    </row>
    <row r="229" spans="1:29" x14ac:dyDescent="0.2">
      <c r="A229" s="143" t="s">
        <v>114</v>
      </c>
      <c r="B229" s="28" t="s">
        <v>111</v>
      </c>
      <c r="C229" s="144">
        <v>0</v>
      </c>
      <c r="D229" s="145">
        <v>76</v>
      </c>
      <c r="E229" s="146" t="s">
        <v>112</v>
      </c>
      <c r="F229" s="7" t="s">
        <v>113</v>
      </c>
      <c r="G229" s="7" t="s">
        <v>113</v>
      </c>
      <c r="H229" s="7" t="s">
        <v>113</v>
      </c>
      <c r="I229" s="7" t="s">
        <v>113</v>
      </c>
      <c r="J229" s="147" t="s">
        <v>113</v>
      </c>
      <c r="K229" s="147" t="s">
        <v>113</v>
      </c>
      <c r="L229" s="147" t="s">
        <v>113</v>
      </c>
      <c r="M229" s="7" t="s">
        <v>113</v>
      </c>
      <c r="N229" s="7" t="s">
        <v>113</v>
      </c>
      <c r="O229" s="7" t="s">
        <v>113</v>
      </c>
      <c r="P229" s="7" t="s">
        <v>113</v>
      </c>
      <c r="Q229" s="147" t="s">
        <v>113</v>
      </c>
      <c r="R229" s="147" t="s">
        <v>113</v>
      </c>
      <c r="S229" s="7" t="s">
        <v>113</v>
      </c>
      <c r="T229" s="7" t="s">
        <v>113</v>
      </c>
      <c r="U229" s="147" t="s">
        <v>113</v>
      </c>
      <c r="V229" s="147" t="str">
        <f t="shared" ref="V229:W229" si="52">IF(ISERR(AVERAGE(V230:V231)),"",AVERAGE(V230:V231))</f>
        <v/>
      </c>
      <c r="W229" s="147" t="str">
        <f t="shared" si="52"/>
        <v/>
      </c>
      <c r="X229" s="7" t="s">
        <v>113</v>
      </c>
      <c r="Y229" s="7" t="s">
        <v>113</v>
      </c>
      <c r="Z229" s="7" t="s">
        <v>113</v>
      </c>
      <c r="AA229" s="7" t="s">
        <v>113</v>
      </c>
      <c r="AB229" s="12"/>
      <c r="AC229" s="7" t="str">
        <f t="shared" si="4"/>
        <v/>
      </c>
    </row>
    <row r="230" spans="1:29" x14ac:dyDescent="0.2">
      <c r="A230" s="143" t="s">
        <v>114</v>
      </c>
      <c r="B230" s="49" t="s">
        <v>111</v>
      </c>
      <c r="C230" s="26">
        <v>0</v>
      </c>
      <c r="D230" s="35"/>
      <c r="E230" s="31">
        <v>1</v>
      </c>
      <c r="F230" s="60" t="s">
        <v>113</v>
      </c>
      <c r="G230" s="60" t="s">
        <v>113</v>
      </c>
      <c r="H230" s="60" t="s">
        <v>113</v>
      </c>
      <c r="I230" s="60" t="s">
        <v>113</v>
      </c>
      <c r="J230" s="148" t="s">
        <v>113</v>
      </c>
      <c r="K230" s="148" t="s">
        <v>113</v>
      </c>
      <c r="L230" s="148" t="s">
        <v>113</v>
      </c>
      <c r="M230" s="60" t="s">
        <v>113</v>
      </c>
      <c r="N230" s="60" t="s">
        <v>113</v>
      </c>
      <c r="O230" s="60" t="s">
        <v>113</v>
      </c>
      <c r="P230" s="60" t="s">
        <v>113</v>
      </c>
      <c r="Q230" s="59" t="s">
        <v>113</v>
      </c>
      <c r="R230" s="59" t="s">
        <v>113</v>
      </c>
      <c r="S230" s="60" t="s">
        <v>113</v>
      </c>
      <c r="T230" s="60" t="s">
        <v>113</v>
      </c>
      <c r="U230" s="60" t="s">
        <v>113</v>
      </c>
      <c r="V230" s="154" t="str">
        <f t="shared" ref="V230:V231" si="53">IF(ISERR(Q230*($V$2/30)^2),"",(Q230*($V$2/30)^2))</f>
        <v/>
      </c>
      <c r="W230" s="155" t="str">
        <f t="shared" ref="W230:W231" si="54">IF(ISERR(((V230/453.59)*$V$2/375)*746),"",(((V230/453.59)*$V$2/375)*746))</f>
        <v/>
      </c>
      <c r="X230" s="60" t="s">
        <v>113</v>
      </c>
      <c r="Y230" s="60" t="s">
        <v>113</v>
      </c>
      <c r="Z230" s="18" t="s">
        <v>113</v>
      </c>
      <c r="AA230" s="17" t="s">
        <v>113</v>
      </c>
      <c r="AB230" s="17"/>
      <c r="AC230" s="60" t="str">
        <f t="shared" si="4"/>
        <v/>
      </c>
    </row>
    <row r="231" spans="1:29" ht="13.5" thickBot="1" x14ac:dyDescent="0.25">
      <c r="A231" s="149" t="s">
        <v>114</v>
      </c>
      <c r="B231" s="50" t="s">
        <v>111</v>
      </c>
      <c r="C231" s="27">
        <v>0</v>
      </c>
      <c r="D231" s="36"/>
      <c r="E231" s="32">
        <v>2</v>
      </c>
      <c r="F231" s="60" t="s">
        <v>113</v>
      </c>
      <c r="G231" s="60" t="s">
        <v>113</v>
      </c>
      <c r="H231" s="60" t="s">
        <v>113</v>
      </c>
      <c r="I231" s="60" t="s">
        <v>113</v>
      </c>
      <c r="J231" s="148" t="s">
        <v>113</v>
      </c>
      <c r="K231" s="148" t="s">
        <v>113</v>
      </c>
      <c r="L231" s="148" t="s">
        <v>113</v>
      </c>
      <c r="M231" s="60" t="s">
        <v>113</v>
      </c>
      <c r="N231" s="60" t="s">
        <v>113</v>
      </c>
      <c r="O231" s="60" t="s">
        <v>113</v>
      </c>
      <c r="P231" s="60" t="s">
        <v>113</v>
      </c>
      <c r="Q231" s="59" t="s">
        <v>113</v>
      </c>
      <c r="R231" s="59" t="s">
        <v>113</v>
      </c>
      <c r="S231" s="60" t="s">
        <v>113</v>
      </c>
      <c r="T231" s="60" t="s">
        <v>113</v>
      </c>
      <c r="U231" s="60" t="s">
        <v>113</v>
      </c>
      <c r="V231" s="154" t="str">
        <f t="shared" si="53"/>
        <v/>
      </c>
      <c r="W231" s="155" t="str">
        <f t="shared" si="54"/>
        <v/>
      </c>
      <c r="X231" s="60" t="s">
        <v>113</v>
      </c>
      <c r="Y231" s="60" t="s">
        <v>113</v>
      </c>
      <c r="Z231" s="20" t="s">
        <v>113</v>
      </c>
      <c r="AA231" s="21" t="s">
        <v>113</v>
      </c>
      <c r="AB231" s="21"/>
      <c r="AC231" s="60" t="str">
        <f t="shared" si="4"/>
        <v/>
      </c>
    </row>
    <row r="232" spans="1:29" x14ac:dyDescent="0.2">
      <c r="A232" s="143" t="s">
        <v>114</v>
      </c>
      <c r="B232" s="28" t="s">
        <v>111</v>
      </c>
      <c r="C232" s="144">
        <v>0</v>
      </c>
      <c r="D232" s="145">
        <v>77</v>
      </c>
      <c r="E232" s="146" t="s">
        <v>112</v>
      </c>
      <c r="F232" s="7" t="s">
        <v>113</v>
      </c>
      <c r="G232" s="7" t="s">
        <v>113</v>
      </c>
      <c r="H232" s="7" t="s">
        <v>113</v>
      </c>
      <c r="I232" s="7" t="s">
        <v>113</v>
      </c>
      <c r="J232" s="147" t="s">
        <v>113</v>
      </c>
      <c r="K232" s="147" t="s">
        <v>113</v>
      </c>
      <c r="L232" s="147" t="s">
        <v>113</v>
      </c>
      <c r="M232" s="7" t="s">
        <v>113</v>
      </c>
      <c r="N232" s="7" t="s">
        <v>113</v>
      </c>
      <c r="O232" s="7" t="s">
        <v>113</v>
      </c>
      <c r="P232" s="7" t="s">
        <v>113</v>
      </c>
      <c r="Q232" s="147" t="s">
        <v>113</v>
      </c>
      <c r="R232" s="147" t="s">
        <v>113</v>
      </c>
      <c r="S232" s="7" t="s">
        <v>113</v>
      </c>
      <c r="T232" s="7" t="s">
        <v>113</v>
      </c>
      <c r="U232" s="147" t="s">
        <v>113</v>
      </c>
      <c r="V232" s="147" t="str">
        <f t="shared" ref="V232:W232" si="55">IF(ISERR(AVERAGE(V233:V234)),"",AVERAGE(V233:V234))</f>
        <v/>
      </c>
      <c r="W232" s="147" t="str">
        <f t="shared" si="55"/>
        <v/>
      </c>
      <c r="X232" s="7" t="s">
        <v>113</v>
      </c>
      <c r="Y232" s="7" t="s">
        <v>113</v>
      </c>
      <c r="Z232" s="7" t="s">
        <v>113</v>
      </c>
      <c r="AA232" s="7" t="s">
        <v>113</v>
      </c>
      <c r="AB232" s="12"/>
      <c r="AC232" s="7" t="str">
        <f t="shared" si="4"/>
        <v/>
      </c>
    </row>
    <row r="233" spans="1:29" x14ac:dyDescent="0.2">
      <c r="A233" s="143" t="s">
        <v>114</v>
      </c>
      <c r="B233" s="49" t="s">
        <v>111</v>
      </c>
      <c r="C233" s="26">
        <v>0</v>
      </c>
      <c r="D233" s="35"/>
      <c r="E233" s="31">
        <v>1</v>
      </c>
      <c r="F233" s="60" t="s">
        <v>113</v>
      </c>
      <c r="G233" s="60" t="s">
        <v>113</v>
      </c>
      <c r="H233" s="60" t="s">
        <v>113</v>
      </c>
      <c r="I233" s="60" t="s">
        <v>113</v>
      </c>
      <c r="J233" s="148" t="s">
        <v>113</v>
      </c>
      <c r="K233" s="148" t="s">
        <v>113</v>
      </c>
      <c r="L233" s="148" t="s">
        <v>113</v>
      </c>
      <c r="M233" s="60" t="s">
        <v>113</v>
      </c>
      <c r="N233" s="60" t="s">
        <v>113</v>
      </c>
      <c r="O233" s="60" t="s">
        <v>113</v>
      </c>
      <c r="P233" s="60" t="s">
        <v>113</v>
      </c>
      <c r="Q233" s="59" t="s">
        <v>113</v>
      </c>
      <c r="R233" s="59" t="s">
        <v>113</v>
      </c>
      <c r="S233" s="60" t="s">
        <v>113</v>
      </c>
      <c r="T233" s="60" t="s">
        <v>113</v>
      </c>
      <c r="U233" s="60" t="s">
        <v>113</v>
      </c>
      <c r="V233" s="154" t="str">
        <f t="shared" ref="V233:V234" si="56">IF(ISERR(Q233*($V$2/30)^2),"",(Q233*($V$2/30)^2))</f>
        <v/>
      </c>
      <c r="W233" s="155" t="str">
        <f t="shared" ref="W233:W234" si="57">IF(ISERR(((V233/453.59)*$V$2/375)*746),"",(((V233/453.59)*$V$2/375)*746))</f>
        <v/>
      </c>
      <c r="X233" s="60" t="s">
        <v>113</v>
      </c>
      <c r="Y233" s="60" t="s">
        <v>113</v>
      </c>
      <c r="Z233" s="18" t="s">
        <v>113</v>
      </c>
      <c r="AA233" s="17" t="s">
        <v>113</v>
      </c>
      <c r="AB233" s="17"/>
      <c r="AC233" s="60" t="str">
        <f t="shared" si="4"/>
        <v/>
      </c>
    </row>
    <row r="234" spans="1:29" ht="13.5" thickBot="1" x14ac:dyDescent="0.25">
      <c r="A234" s="149" t="s">
        <v>114</v>
      </c>
      <c r="B234" s="50" t="s">
        <v>111</v>
      </c>
      <c r="C234" s="27">
        <v>0</v>
      </c>
      <c r="D234" s="36"/>
      <c r="E234" s="32">
        <v>2</v>
      </c>
      <c r="F234" s="60" t="s">
        <v>113</v>
      </c>
      <c r="G234" s="60" t="s">
        <v>113</v>
      </c>
      <c r="H234" s="60" t="s">
        <v>113</v>
      </c>
      <c r="I234" s="60" t="s">
        <v>113</v>
      </c>
      <c r="J234" s="148" t="s">
        <v>113</v>
      </c>
      <c r="K234" s="148" t="s">
        <v>113</v>
      </c>
      <c r="L234" s="148" t="s">
        <v>113</v>
      </c>
      <c r="M234" s="60" t="s">
        <v>113</v>
      </c>
      <c r="N234" s="60" t="s">
        <v>113</v>
      </c>
      <c r="O234" s="60" t="s">
        <v>113</v>
      </c>
      <c r="P234" s="60" t="s">
        <v>113</v>
      </c>
      <c r="Q234" s="59" t="s">
        <v>113</v>
      </c>
      <c r="R234" s="59" t="s">
        <v>113</v>
      </c>
      <c r="S234" s="60" t="s">
        <v>113</v>
      </c>
      <c r="T234" s="60" t="s">
        <v>113</v>
      </c>
      <c r="U234" s="60" t="s">
        <v>113</v>
      </c>
      <c r="V234" s="154" t="str">
        <f t="shared" si="56"/>
        <v/>
      </c>
      <c r="W234" s="155" t="str">
        <f t="shared" si="57"/>
        <v/>
      </c>
      <c r="X234" s="60" t="s">
        <v>113</v>
      </c>
      <c r="Y234" s="60" t="s">
        <v>113</v>
      </c>
      <c r="Z234" s="20" t="s">
        <v>113</v>
      </c>
      <c r="AA234" s="21" t="s">
        <v>113</v>
      </c>
      <c r="AB234" s="21"/>
      <c r="AC234" s="60" t="str">
        <f t="shared" si="4"/>
        <v/>
      </c>
    </row>
    <row r="235" spans="1:29" x14ac:dyDescent="0.2">
      <c r="A235" s="143" t="s">
        <v>114</v>
      </c>
      <c r="B235" s="28" t="s">
        <v>111</v>
      </c>
      <c r="C235" s="144">
        <v>0</v>
      </c>
      <c r="D235" s="145">
        <v>78</v>
      </c>
      <c r="E235" s="146" t="s">
        <v>112</v>
      </c>
      <c r="F235" s="7" t="s">
        <v>113</v>
      </c>
      <c r="G235" s="7" t="s">
        <v>113</v>
      </c>
      <c r="H235" s="7" t="s">
        <v>113</v>
      </c>
      <c r="I235" s="7" t="s">
        <v>113</v>
      </c>
      <c r="J235" s="147" t="s">
        <v>113</v>
      </c>
      <c r="K235" s="147" t="s">
        <v>113</v>
      </c>
      <c r="L235" s="147" t="s">
        <v>113</v>
      </c>
      <c r="M235" s="7" t="s">
        <v>113</v>
      </c>
      <c r="N235" s="7" t="s">
        <v>113</v>
      </c>
      <c r="O235" s="7" t="s">
        <v>113</v>
      </c>
      <c r="P235" s="7" t="s">
        <v>113</v>
      </c>
      <c r="Q235" s="147" t="s">
        <v>113</v>
      </c>
      <c r="R235" s="147" t="s">
        <v>113</v>
      </c>
      <c r="S235" s="7" t="s">
        <v>113</v>
      </c>
      <c r="T235" s="7" t="s">
        <v>113</v>
      </c>
      <c r="U235" s="147" t="s">
        <v>113</v>
      </c>
      <c r="V235" s="147" t="str">
        <f t="shared" ref="V235:W235" si="58">IF(ISERR(AVERAGE(V236:V237)),"",AVERAGE(V236:V237))</f>
        <v/>
      </c>
      <c r="W235" s="147" t="str">
        <f t="shared" si="58"/>
        <v/>
      </c>
      <c r="X235" s="7" t="s">
        <v>113</v>
      </c>
      <c r="Y235" s="7" t="s">
        <v>113</v>
      </c>
      <c r="Z235" s="7" t="s">
        <v>113</v>
      </c>
      <c r="AA235" s="7" t="s">
        <v>113</v>
      </c>
      <c r="AB235" s="12"/>
      <c r="AC235" s="7" t="str">
        <f t="shared" si="4"/>
        <v/>
      </c>
    </row>
    <row r="236" spans="1:29" x14ac:dyDescent="0.2">
      <c r="A236" s="143" t="s">
        <v>114</v>
      </c>
      <c r="B236" s="49" t="s">
        <v>111</v>
      </c>
      <c r="C236" s="26">
        <v>0</v>
      </c>
      <c r="D236" s="35"/>
      <c r="E236" s="31">
        <v>1</v>
      </c>
      <c r="F236" s="60" t="s">
        <v>113</v>
      </c>
      <c r="G236" s="60" t="s">
        <v>113</v>
      </c>
      <c r="H236" s="60" t="s">
        <v>113</v>
      </c>
      <c r="I236" s="60" t="s">
        <v>113</v>
      </c>
      <c r="J236" s="148" t="s">
        <v>113</v>
      </c>
      <c r="K236" s="148" t="s">
        <v>113</v>
      </c>
      <c r="L236" s="148" t="s">
        <v>113</v>
      </c>
      <c r="M236" s="60" t="s">
        <v>113</v>
      </c>
      <c r="N236" s="60" t="s">
        <v>113</v>
      </c>
      <c r="O236" s="60" t="s">
        <v>113</v>
      </c>
      <c r="P236" s="60" t="s">
        <v>113</v>
      </c>
      <c r="Q236" s="59" t="s">
        <v>113</v>
      </c>
      <c r="R236" s="59" t="s">
        <v>113</v>
      </c>
      <c r="S236" s="60" t="s">
        <v>113</v>
      </c>
      <c r="T236" s="60" t="s">
        <v>113</v>
      </c>
      <c r="U236" s="60" t="s">
        <v>113</v>
      </c>
      <c r="V236" s="154" t="str">
        <f t="shared" ref="V236:V237" si="59">IF(ISERR(Q236*($V$2/30)^2),"",(Q236*($V$2/30)^2))</f>
        <v/>
      </c>
      <c r="W236" s="155" t="str">
        <f t="shared" ref="W236:W237" si="60">IF(ISERR(((V236/453.59)*$V$2/375)*746),"",(((V236/453.59)*$V$2/375)*746))</f>
        <v/>
      </c>
      <c r="X236" s="60" t="s">
        <v>113</v>
      </c>
      <c r="Y236" s="60" t="s">
        <v>113</v>
      </c>
      <c r="Z236" s="18" t="s">
        <v>113</v>
      </c>
      <c r="AA236" s="17" t="s">
        <v>113</v>
      </c>
      <c r="AB236" s="17"/>
      <c r="AC236" s="60" t="str">
        <f t="shared" si="4"/>
        <v/>
      </c>
    </row>
    <row r="237" spans="1:29" ht="13.5" thickBot="1" x14ac:dyDescent="0.25">
      <c r="A237" s="149" t="s">
        <v>114</v>
      </c>
      <c r="B237" s="50" t="s">
        <v>111</v>
      </c>
      <c r="C237" s="27">
        <v>0</v>
      </c>
      <c r="D237" s="36"/>
      <c r="E237" s="32">
        <v>2</v>
      </c>
      <c r="F237" s="60" t="s">
        <v>113</v>
      </c>
      <c r="G237" s="60" t="s">
        <v>113</v>
      </c>
      <c r="H237" s="60" t="s">
        <v>113</v>
      </c>
      <c r="I237" s="60" t="s">
        <v>113</v>
      </c>
      <c r="J237" s="148" t="s">
        <v>113</v>
      </c>
      <c r="K237" s="148" t="s">
        <v>113</v>
      </c>
      <c r="L237" s="148" t="s">
        <v>113</v>
      </c>
      <c r="M237" s="60" t="s">
        <v>113</v>
      </c>
      <c r="N237" s="60" t="s">
        <v>113</v>
      </c>
      <c r="O237" s="60" t="s">
        <v>113</v>
      </c>
      <c r="P237" s="60" t="s">
        <v>113</v>
      </c>
      <c r="Q237" s="59" t="s">
        <v>113</v>
      </c>
      <c r="R237" s="59" t="s">
        <v>113</v>
      </c>
      <c r="S237" s="60" t="s">
        <v>113</v>
      </c>
      <c r="T237" s="60" t="s">
        <v>113</v>
      </c>
      <c r="U237" s="60" t="s">
        <v>113</v>
      </c>
      <c r="V237" s="154" t="str">
        <f t="shared" si="59"/>
        <v/>
      </c>
      <c r="W237" s="155" t="str">
        <f t="shared" si="60"/>
        <v/>
      </c>
      <c r="X237" s="60" t="s">
        <v>113</v>
      </c>
      <c r="Y237" s="60" t="s">
        <v>113</v>
      </c>
      <c r="Z237" s="20" t="s">
        <v>113</v>
      </c>
      <c r="AA237" s="21" t="s">
        <v>113</v>
      </c>
      <c r="AB237" s="21"/>
      <c r="AC237" s="60" t="str">
        <f t="shared" si="4"/>
        <v/>
      </c>
    </row>
    <row r="238" spans="1:29" x14ac:dyDescent="0.2">
      <c r="A238" s="143" t="s">
        <v>114</v>
      </c>
      <c r="B238" s="28" t="s">
        <v>111</v>
      </c>
      <c r="C238" s="144">
        <v>0</v>
      </c>
      <c r="D238" s="145">
        <v>79</v>
      </c>
      <c r="E238" s="146" t="s">
        <v>112</v>
      </c>
      <c r="F238" s="7" t="s">
        <v>113</v>
      </c>
      <c r="G238" s="7" t="s">
        <v>113</v>
      </c>
      <c r="H238" s="7" t="s">
        <v>113</v>
      </c>
      <c r="I238" s="7" t="s">
        <v>113</v>
      </c>
      <c r="J238" s="147" t="s">
        <v>113</v>
      </c>
      <c r="K238" s="147" t="s">
        <v>113</v>
      </c>
      <c r="L238" s="147" t="s">
        <v>113</v>
      </c>
      <c r="M238" s="7" t="s">
        <v>113</v>
      </c>
      <c r="N238" s="7" t="s">
        <v>113</v>
      </c>
      <c r="O238" s="7" t="s">
        <v>113</v>
      </c>
      <c r="P238" s="7" t="s">
        <v>113</v>
      </c>
      <c r="Q238" s="147" t="s">
        <v>113</v>
      </c>
      <c r="R238" s="147" t="s">
        <v>113</v>
      </c>
      <c r="S238" s="7" t="s">
        <v>113</v>
      </c>
      <c r="T238" s="7" t="s">
        <v>113</v>
      </c>
      <c r="U238" s="147" t="s">
        <v>113</v>
      </c>
      <c r="V238" s="147" t="str">
        <f t="shared" ref="V238:W238" si="61">IF(ISERR(AVERAGE(V239:V240)),"",AVERAGE(V239:V240))</f>
        <v/>
      </c>
      <c r="W238" s="147" t="str">
        <f t="shared" si="61"/>
        <v/>
      </c>
      <c r="X238" s="7" t="s">
        <v>113</v>
      </c>
      <c r="Y238" s="7" t="s">
        <v>113</v>
      </c>
      <c r="Z238" s="7" t="s">
        <v>113</v>
      </c>
      <c r="AA238" s="7" t="s">
        <v>113</v>
      </c>
      <c r="AB238" s="12"/>
      <c r="AC238" s="7" t="str">
        <f t="shared" si="4"/>
        <v/>
      </c>
    </row>
    <row r="239" spans="1:29" x14ac:dyDescent="0.2">
      <c r="A239" s="143" t="s">
        <v>114</v>
      </c>
      <c r="B239" s="49" t="s">
        <v>111</v>
      </c>
      <c r="C239" s="26">
        <v>0</v>
      </c>
      <c r="D239" s="35"/>
      <c r="E239" s="31">
        <v>1</v>
      </c>
      <c r="F239" s="60" t="s">
        <v>113</v>
      </c>
      <c r="G239" s="60" t="s">
        <v>113</v>
      </c>
      <c r="H239" s="60" t="s">
        <v>113</v>
      </c>
      <c r="I239" s="60" t="s">
        <v>113</v>
      </c>
      <c r="J239" s="148" t="s">
        <v>113</v>
      </c>
      <c r="K239" s="148" t="s">
        <v>113</v>
      </c>
      <c r="L239" s="148" t="s">
        <v>113</v>
      </c>
      <c r="M239" s="60" t="s">
        <v>113</v>
      </c>
      <c r="N239" s="60" t="s">
        <v>113</v>
      </c>
      <c r="O239" s="60" t="s">
        <v>113</v>
      </c>
      <c r="P239" s="60" t="s">
        <v>113</v>
      </c>
      <c r="Q239" s="59" t="s">
        <v>113</v>
      </c>
      <c r="R239" s="59" t="s">
        <v>113</v>
      </c>
      <c r="S239" s="60" t="s">
        <v>113</v>
      </c>
      <c r="T239" s="60" t="s">
        <v>113</v>
      </c>
      <c r="U239" s="60" t="s">
        <v>113</v>
      </c>
      <c r="V239" s="154" t="str">
        <f t="shared" ref="V239:V240" si="62">IF(ISERR(Q239*($V$2/30)^2),"",(Q239*($V$2/30)^2))</f>
        <v/>
      </c>
      <c r="W239" s="155" t="str">
        <f t="shared" ref="W239:W240" si="63">IF(ISERR(((V239/453.59)*$V$2/375)*746),"",(((V239/453.59)*$V$2/375)*746))</f>
        <v/>
      </c>
      <c r="X239" s="60" t="s">
        <v>113</v>
      </c>
      <c r="Y239" s="60" t="s">
        <v>113</v>
      </c>
      <c r="Z239" s="18" t="s">
        <v>113</v>
      </c>
      <c r="AA239" s="17" t="s">
        <v>113</v>
      </c>
      <c r="AB239" s="17"/>
      <c r="AC239" s="60" t="str">
        <f t="shared" si="4"/>
        <v/>
      </c>
    </row>
    <row r="240" spans="1:29" ht="13.5" thickBot="1" x14ac:dyDescent="0.25">
      <c r="A240" s="149" t="s">
        <v>114</v>
      </c>
      <c r="B240" s="50" t="s">
        <v>111</v>
      </c>
      <c r="C240" s="27">
        <v>0</v>
      </c>
      <c r="D240" s="36"/>
      <c r="E240" s="32">
        <v>2</v>
      </c>
      <c r="F240" s="60" t="s">
        <v>113</v>
      </c>
      <c r="G240" s="60" t="s">
        <v>113</v>
      </c>
      <c r="H240" s="60" t="s">
        <v>113</v>
      </c>
      <c r="I240" s="60" t="s">
        <v>113</v>
      </c>
      <c r="J240" s="148" t="s">
        <v>113</v>
      </c>
      <c r="K240" s="148" t="s">
        <v>113</v>
      </c>
      <c r="L240" s="148" t="s">
        <v>113</v>
      </c>
      <c r="M240" s="60" t="s">
        <v>113</v>
      </c>
      <c r="N240" s="60" t="s">
        <v>113</v>
      </c>
      <c r="O240" s="60" t="s">
        <v>113</v>
      </c>
      <c r="P240" s="60" t="s">
        <v>113</v>
      </c>
      <c r="Q240" s="59" t="s">
        <v>113</v>
      </c>
      <c r="R240" s="59" t="s">
        <v>113</v>
      </c>
      <c r="S240" s="60" t="s">
        <v>113</v>
      </c>
      <c r="T240" s="60" t="s">
        <v>113</v>
      </c>
      <c r="U240" s="60" t="s">
        <v>113</v>
      </c>
      <c r="V240" s="154" t="str">
        <f t="shared" si="62"/>
        <v/>
      </c>
      <c r="W240" s="155" t="str">
        <f t="shared" si="63"/>
        <v/>
      </c>
      <c r="X240" s="60" t="s">
        <v>113</v>
      </c>
      <c r="Y240" s="60" t="s">
        <v>113</v>
      </c>
      <c r="Z240" s="20" t="s">
        <v>113</v>
      </c>
      <c r="AA240" s="21" t="s">
        <v>113</v>
      </c>
      <c r="AB240" s="21"/>
      <c r="AC240" s="60" t="str">
        <f t="shared" si="4"/>
        <v/>
      </c>
    </row>
    <row r="241" spans="1:29" x14ac:dyDescent="0.2">
      <c r="A241" s="143" t="s">
        <v>114</v>
      </c>
      <c r="B241" s="28" t="s">
        <v>111</v>
      </c>
      <c r="C241" s="144">
        <v>0</v>
      </c>
      <c r="D241" s="145">
        <v>80</v>
      </c>
      <c r="E241" s="146" t="s">
        <v>112</v>
      </c>
      <c r="F241" s="7" t="s">
        <v>113</v>
      </c>
      <c r="G241" s="7" t="s">
        <v>113</v>
      </c>
      <c r="H241" s="7" t="s">
        <v>113</v>
      </c>
      <c r="I241" s="7" t="s">
        <v>113</v>
      </c>
      <c r="J241" s="147" t="s">
        <v>113</v>
      </c>
      <c r="K241" s="147" t="s">
        <v>113</v>
      </c>
      <c r="L241" s="147" t="s">
        <v>113</v>
      </c>
      <c r="M241" s="7" t="s">
        <v>113</v>
      </c>
      <c r="N241" s="7" t="s">
        <v>113</v>
      </c>
      <c r="O241" s="7" t="s">
        <v>113</v>
      </c>
      <c r="P241" s="7" t="s">
        <v>113</v>
      </c>
      <c r="Q241" s="147" t="s">
        <v>113</v>
      </c>
      <c r="R241" s="147" t="s">
        <v>113</v>
      </c>
      <c r="S241" s="7" t="s">
        <v>113</v>
      </c>
      <c r="T241" s="7" t="s">
        <v>113</v>
      </c>
      <c r="U241" s="147" t="s">
        <v>113</v>
      </c>
      <c r="V241" s="147" t="str">
        <f t="shared" ref="V241:W241" si="64">IF(ISERR(AVERAGE(V242:V243)),"",AVERAGE(V242:V243))</f>
        <v/>
      </c>
      <c r="W241" s="147" t="str">
        <f t="shared" si="64"/>
        <v/>
      </c>
      <c r="X241" s="7" t="s">
        <v>113</v>
      </c>
      <c r="Y241" s="7" t="s">
        <v>113</v>
      </c>
      <c r="Z241" s="7" t="s">
        <v>113</v>
      </c>
      <c r="AA241" s="7" t="s">
        <v>113</v>
      </c>
      <c r="AB241" s="12"/>
      <c r="AC241" s="7" t="str">
        <f t="shared" si="4"/>
        <v/>
      </c>
    </row>
    <row r="242" spans="1:29" x14ac:dyDescent="0.2">
      <c r="A242" s="143" t="s">
        <v>114</v>
      </c>
      <c r="B242" s="49" t="s">
        <v>111</v>
      </c>
      <c r="C242" s="26">
        <v>0</v>
      </c>
      <c r="D242" s="35"/>
      <c r="E242" s="31">
        <v>1</v>
      </c>
      <c r="F242" s="60" t="s">
        <v>113</v>
      </c>
      <c r="G242" s="60" t="s">
        <v>113</v>
      </c>
      <c r="H242" s="60" t="s">
        <v>113</v>
      </c>
      <c r="I242" s="60" t="s">
        <v>113</v>
      </c>
      <c r="J242" s="148" t="s">
        <v>113</v>
      </c>
      <c r="K242" s="148" t="s">
        <v>113</v>
      </c>
      <c r="L242" s="148" t="s">
        <v>113</v>
      </c>
      <c r="M242" s="60" t="s">
        <v>113</v>
      </c>
      <c r="N242" s="60" t="s">
        <v>113</v>
      </c>
      <c r="O242" s="60" t="s">
        <v>113</v>
      </c>
      <c r="P242" s="60" t="s">
        <v>113</v>
      </c>
      <c r="Q242" s="59" t="s">
        <v>113</v>
      </c>
      <c r="R242" s="59" t="s">
        <v>113</v>
      </c>
      <c r="S242" s="60" t="s">
        <v>113</v>
      </c>
      <c r="T242" s="60" t="s">
        <v>113</v>
      </c>
      <c r="U242" s="60" t="s">
        <v>113</v>
      </c>
      <c r="V242" s="154" t="str">
        <f t="shared" ref="V242:V243" si="65">IF(ISERR(Q242*($V$2/30)^2),"",(Q242*($V$2/30)^2))</f>
        <v/>
      </c>
      <c r="W242" s="155" t="str">
        <f t="shared" ref="W242:W243" si="66">IF(ISERR(((V242/453.59)*$V$2/375)*746),"",(((V242/453.59)*$V$2/375)*746))</f>
        <v/>
      </c>
      <c r="X242" s="60" t="s">
        <v>113</v>
      </c>
      <c r="Y242" s="60" t="s">
        <v>113</v>
      </c>
      <c r="Z242" s="18" t="s">
        <v>113</v>
      </c>
      <c r="AA242" s="17" t="s">
        <v>113</v>
      </c>
      <c r="AB242" s="17"/>
      <c r="AC242" s="60" t="str">
        <f t="shared" si="4"/>
        <v/>
      </c>
    </row>
    <row r="243" spans="1:29" ht="13.5" thickBot="1" x14ac:dyDescent="0.25">
      <c r="A243" s="149" t="s">
        <v>114</v>
      </c>
      <c r="B243" s="50" t="s">
        <v>111</v>
      </c>
      <c r="C243" s="27">
        <v>0</v>
      </c>
      <c r="D243" s="36"/>
      <c r="E243" s="32">
        <v>2</v>
      </c>
      <c r="F243" s="60" t="s">
        <v>113</v>
      </c>
      <c r="G243" s="60" t="s">
        <v>113</v>
      </c>
      <c r="H243" s="60" t="s">
        <v>113</v>
      </c>
      <c r="I243" s="60" t="s">
        <v>113</v>
      </c>
      <c r="J243" s="148" t="s">
        <v>113</v>
      </c>
      <c r="K243" s="148" t="s">
        <v>113</v>
      </c>
      <c r="L243" s="148" t="s">
        <v>113</v>
      </c>
      <c r="M243" s="60" t="s">
        <v>113</v>
      </c>
      <c r="N243" s="60" t="s">
        <v>113</v>
      </c>
      <c r="O243" s="60" t="s">
        <v>113</v>
      </c>
      <c r="P243" s="60" t="s">
        <v>113</v>
      </c>
      <c r="Q243" s="59" t="s">
        <v>113</v>
      </c>
      <c r="R243" s="59" t="s">
        <v>113</v>
      </c>
      <c r="S243" s="60" t="s">
        <v>113</v>
      </c>
      <c r="T243" s="60" t="s">
        <v>113</v>
      </c>
      <c r="U243" s="60" t="s">
        <v>113</v>
      </c>
      <c r="V243" s="154" t="str">
        <f t="shared" si="65"/>
        <v/>
      </c>
      <c r="W243" s="155" t="str">
        <f t="shared" si="66"/>
        <v/>
      </c>
      <c r="X243" s="60" t="s">
        <v>113</v>
      </c>
      <c r="Y243" s="60" t="s">
        <v>113</v>
      </c>
      <c r="Z243" s="20" t="s">
        <v>113</v>
      </c>
      <c r="AA243" s="21" t="s">
        <v>113</v>
      </c>
      <c r="AB243" s="21"/>
      <c r="AC243" s="60" t="str">
        <f t="shared" si="4"/>
        <v/>
      </c>
    </row>
    <row r="244" spans="1:29" x14ac:dyDescent="0.2">
      <c r="A244" s="143" t="s">
        <v>114</v>
      </c>
      <c r="B244" s="28" t="s">
        <v>111</v>
      </c>
      <c r="C244" s="144">
        <v>0</v>
      </c>
      <c r="D244" s="145">
        <v>81</v>
      </c>
      <c r="E244" s="146" t="s">
        <v>112</v>
      </c>
      <c r="F244" s="7" t="s">
        <v>113</v>
      </c>
      <c r="G244" s="7" t="s">
        <v>113</v>
      </c>
      <c r="H244" s="7" t="s">
        <v>113</v>
      </c>
      <c r="I244" s="7" t="s">
        <v>113</v>
      </c>
      <c r="J244" s="147" t="s">
        <v>113</v>
      </c>
      <c r="K244" s="147" t="s">
        <v>113</v>
      </c>
      <c r="L244" s="147" t="s">
        <v>113</v>
      </c>
      <c r="M244" s="7" t="s">
        <v>113</v>
      </c>
      <c r="N244" s="7" t="s">
        <v>113</v>
      </c>
      <c r="O244" s="7" t="s">
        <v>113</v>
      </c>
      <c r="P244" s="7" t="s">
        <v>113</v>
      </c>
      <c r="Q244" s="147" t="s">
        <v>113</v>
      </c>
      <c r="R244" s="147" t="s">
        <v>113</v>
      </c>
      <c r="S244" s="7" t="s">
        <v>113</v>
      </c>
      <c r="T244" s="7" t="s">
        <v>113</v>
      </c>
      <c r="U244" s="147" t="s">
        <v>113</v>
      </c>
      <c r="V244" s="147" t="str">
        <f t="shared" ref="V244:W244" si="67">IF(ISERR(AVERAGE(V245:V246)),"",AVERAGE(V245:V246))</f>
        <v/>
      </c>
      <c r="W244" s="147" t="str">
        <f t="shared" si="67"/>
        <v/>
      </c>
      <c r="X244" s="7" t="s">
        <v>113</v>
      </c>
      <c r="Y244" s="7" t="s">
        <v>113</v>
      </c>
      <c r="Z244" s="7" t="s">
        <v>113</v>
      </c>
      <c r="AA244" s="7" t="s">
        <v>113</v>
      </c>
      <c r="AB244" s="12"/>
      <c r="AC244" s="7" t="str">
        <f t="shared" si="4"/>
        <v/>
      </c>
    </row>
    <row r="245" spans="1:29" x14ac:dyDescent="0.2">
      <c r="A245" s="143" t="s">
        <v>114</v>
      </c>
      <c r="B245" s="49" t="s">
        <v>111</v>
      </c>
      <c r="C245" s="26">
        <v>0</v>
      </c>
      <c r="D245" s="35"/>
      <c r="E245" s="31">
        <v>1</v>
      </c>
      <c r="F245" s="60" t="s">
        <v>113</v>
      </c>
      <c r="G245" s="60" t="s">
        <v>113</v>
      </c>
      <c r="H245" s="60" t="s">
        <v>113</v>
      </c>
      <c r="I245" s="60" t="s">
        <v>113</v>
      </c>
      <c r="J245" s="148" t="s">
        <v>113</v>
      </c>
      <c r="K245" s="148" t="s">
        <v>113</v>
      </c>
      <c r="L245" s="148" t="s">
        <v>113</v>
      </c>
      <c r="M245" s="60" t="s">
        <v>113</v>
      </c>
      <c r="N245" s="60" t="s">
        <v>113</v>
      </c>
      <c r="O245" s="60" t="s">
        <v>113</v>
      </c>
      <c r="P245" s="60" t="s">
        <v>113</v>
      </c>
      <c r="Q245" s="59" t="s">
        <v>113</v>
      </c>
      <c r="R245" s="59" t="s">
        <v>113</v>
      </c>
      <c r="S245" s="60" t="s">
        <v>113</v>
      </c>
      <c r="T245" s="60" t="s">
        <v>113</v>
      </c>
      <c r="U245" s="60" t="s">
        <v>113</v>
      </c>
      <c r="V245" s="154" t="str">
        <f t="shared" ref="V245:V246" si="68">IF(ISERR(Q245*($V$2/30)^2),"",(Q245*($V$2/30)^2))</f>
        <v/>
      </c>
      <c r="W245" s="155" t="str">
        <f t="shared" ref="W245:W246" si="69">IF(ISERR(((V245/453.59)*$V$2/375)*746),"",(((V245/453.59)*$V$2/375)*746))</f>
        <v/>
      </c>
      <c r="X245" s="60" t="s">
        <v>113</v>
      </c>
      <c r="Y245" s="60" t="s">
        <v>113</v>
      </c>
      <c r="Z245" s="18" t="s">
        <v>113</v>
      </c>
      <c r="AA245" s="17" t="s">
        <v>113</v>
      </c>
      <c r="AB245" s="17"/>
      <c r="AC245" s="60" t="str">
        <f t="shared" ref="AC245:AC308" si="70">IF(ISERR(M245*0.314),"",(M245*0.314))</f>
        <v/>
      </c>
    </row>
    <row r="246" spans="1:29" ht="13.5" thickBot="1" x14ac:dyDescent="0.25">
      <c r="A246" s="149" t="s">
        <v>114</v>
      </c>
      <c r="B246" s="50" t="s">
        <v>111</v>
      </c>
      <c r="C246" s="27">
        <v>0</v>
      </c>
      <c r="D246" s="36"/>
      <c r="E246" s="32">
        <v>2</v>
      </c>
      <c r="F246" s="60" t="s">
        <v>113</v>
      </c>
      <c r="G246" s="60" t="s">
        <v>113</v>
      </c>
      <c r="H246" s="60" t="s">
        <v>113</v>
      </c>
      <c r="I246" s="60" t="s">
        <v>113</v>
      </c>
      <c r="J246" s="148" t="s">
        <v>113</v>
      </c>
      <c r="K246" s="148" t="s">
        <v>113</v>
      </c>
      <c r="L246" s="148" t="s">
        <v>113</v>
      </c>
      <c r="M246" s="60" t="s">
        <v>113</v>
      </c>
      <c r="N246" s="60" t="s">
        <v>113</v>
      </c>
      <c r="O246" s="60" t="s">
        <v>113</v>
      </c>
      <c r="P246" s="60" t="s">
        <v>113</v>
      </c>
      <c r="Q246" s="59" t="s">
        <v>113</v>
      </c>
      <c r="R246" s="59" t="s">
        <v>113</v>
      </c>
      <c r="S246" s="60" t="s">
        <v>113</v>
      </c>
      <c r="T246" s="60" t="s">
        <v>113</v>
      </c>
      <c r="U246" s="60" t="s">
        <v>113</v>
      </c>
      <c r="V246" s="154" t="str">
        <f t="shared" si="68"/>
        <v/>
      </c>
      <c r="W246" s="155" t="str">
        <f t="shared" si="69"/>
        <v/>
      </c>
      <c r="X246" s="60" t="s">
        <v>113</v>
      </c>
      <c r="Y246" s="60" t="s">
        <v>113</v>
      </c>
      <c r="Z246" s="20" t="s">
        <v>113</v>
      </c>
      <c r="AA246" s="21" t="s">
        <v>113</v>
      </c>
      <c r="AB246" s="21"/>
      <c r="AC246" s="60" t="str">
        <f t="shared" si="70"/>
        <v/>
      </c>
    </row>
    <row r="247" spans="1:29" x14ac:dyDescent="0.2">
      <c r="A247" s="143" t="s">
        <v>114</v>
      </c>
      <c r="B247" s="28" t="s">
        <v>111</v>
      </c>
      <c r="C247" s="144">
        <v>0</v>
      </c>
      <c r="D247" s="145">
        <v>82</v>
      </c>
      <c r="E247" s="146" t="s">
        <v>112</v>
      </c>
      <c r="F247" s="7" t="s">
        <v>113</v>
      </c>
      <c r="G247" s="7" t="s">
        <v>113</v>
      </c>
      <c r="H247" s="7" t="s">
        <v>113</v>
      </c>
      <c r="I247" s="7" t="s">
        <v>113</v>
      </c>
      <c r="J247" s="147" t="s">
        <v>113</v>
      </c>
      <c r="K247" s="147" t="s">
        <v>113</v>
      </c>
      <c r="L247" s="147" t="s">
        <v>113</v>
      </c>
      <c r="M247" s="7" t="s">
        <v>113</v>
      </c>
      <c r="N247" s="7" t="s">
        <v>113</v>
      </c>
      <c r="O247" s="7" t="s">
        <v>113</v>
      </c>
      <c r="P247" s="7" t="s">
        <v>113</v>
      </c>
      <c r="Q247" s="147" t="s">
        <v>113</v>
      </c>
      <c r="R247" s="147" t="s">
        <v>113</v>
      </c>
      <c r="S247" s="7" t="s">
        <v>113</v>
      </c>
      <c r="T247" s="7" t="s">
        <v>113</v>
      </c>
      <c r="U247" s="147" t="s">
        <v>113</v>
      </c>
      <c r="V247" s="147" t="str">
        <f t="shared" ref="V247:W247" si="71">IF(ISERR(AVERAGE(V248:V249)),"",AVERAGE(V248:V249))</f>
        <v/>
      </c>
      <c r="W247" s="147" t="str">
        <f t="shared" si="71"/>
        <v/>
      </c>
      <c r="X247" s="7" t="s">
        <v>113</v>
      </c>
      <c r="Y247" s="7" t="s">
        <v>113</v>
      </c>
      <c r="Z247" s="7" t="s">
        <v>113</v>
      </c>
      <c r="AA247" s="7" t="s">
        <v>113</v>
      </c>
      <c r="AB247" s="12"/>
      <c r="AC247" s="7" t="str">
        <f t="shared" si="70"/>
        <v/>
      </c>
    </row>
    <row r="248" spans="1:29" x14ac:dyDescent="0.2">
      <c r="A248" s="143" t="s">
        <v>114</v>
      </c>
      <c r="B248" s="49" t="s">
        <v>111</v>
      </c>
      <c r="C248" s="26">
        <v>0</v>
      </c>
      <c r="D248" s="35"/>
      <c r="E248" s="31">
        <v>1</v>
      </c>
      <c r="F248" s="60" t="s">
        <v>113</v>
      </c>
      <c r="G248" s="60" t="s">
        <v>113</v>
      </c>
      <c r="H248" s="60" t="s">
        <v>113</v>
      </c>
      <c r="I248" s="60" t="s">
        <v>113</v>
      </c>
      <c r="J248" s="148" t="s">
        <v>113</v>
      </c>
      <c r="K248" s="148" t="s">
        <v>113</v>
      </c>
      <c r="L248" s="148" t="s">
        <v>113</v>
      </c>
      <c r="M248" s="60" t="s">
        <v>113</v>
      </c>
      <c r="N248" s="60" t="s">
        <v>113</v>
      </c>
      <c r="O248" s="60" t="s">
        <v>113</v>
      </c>
      <c r="P248" s="60" t="s">
        <v>113</v>
      </c>
      <c r="Q248" s="59" t="s">
        <v>113</v>
      </c>
      <c r="R248" s="59" t="s">
        <v>113</v>
      </c>
      <c r="S248" s="60" t="s">
        <v>113</v>
      </c>
      <c r="T248" s="60" t="s">
        <v>113</v>
      </c>
      <c r="U248" s="60" t="s">
        <v>113</v>
      </c>
      <c r="V248" s="154" t="str">
        <f t="shared" ref="V248:V249" si="72">IF(ISERR(Q248*($V$2/30)^2),"",(Q248*($V$2/30)^2))</f>
        <v/>
      </c>
      <c r="W248" s="155" t="str">
        <f t="shared" ref="W248:W249" si="73">IF(ISERR(((V248/453.59)*$V$2/375)*746),"",(((V248/453.59)*$V$2/375)*746))</f>
        <v/>
      </c>
      <c r="X248" s="60" t="s">
        <v>113</v>
      </c>
      <c r="Y248" s="60" t="s">
        <v>113</v>
      </c>
      <c r="Z248" s="18" t="s">
        <v>113</v>
      </c>
      <c r="AA248" s="17" t="s">
        <v>113</v>
      </c>
      <c r="AB248" s="17"/>
      <c r="AC248" s="60" t="str">
        <f t="shared" si="70"/>
        <v/>
      </c>
    </row>
    <row r="249" spans="1:29" ht="13.5" thickBot="1" x14ac:dyDescent="0.25">
      <c r="A249" s="149" t="s">
        <v>114</v>
      </c>
      <c r="B249" s="50" t="s">
        <v>111</v>
      </c>
      <c r="C249" s="27">
        <v>0</v>
      </c>
      <c r="D249" s="36"/>
      <c r="E249" s="32">
        <v>2</v>
      </c>
      <c r="F249" s="60" t="s">
        <v>113</v>
      </c>
      <c r="G249" s="60" t="s">
        <v>113</v>
      </c>
      <c r="H249" s="60" t="s">
        <v>113</v>
      </c>
      <c r="I249" s="60" t="s">
        <v>113</v>
      </c>
      <c r="J249" s="148" t="s">
        <v>113</v>
      </c>
      <c r="K249" s="148" t="s">
        <v>113</v>
      </c>
      <c r="L249" s="148" t="s">
        <v>113</v>
      </c>
      <c r="M249" s="60" t="s">
        <v>113</v>
      </c>
      <c r="N249" s="60" t="s">
        <v>113</v>
      </c>
      <c r="O249" s="60" t="s">
        <v>113</v>
      </c>
      <c r="P249" s="60" t="s">
        <v>113</v>
      </c>
      <c r="Q249" s="59" t="s">
        <v>113</v>
      </c>
      <c r="R249" s="59" t="s">
        <v>113</v>
      </c>
      <c r="S249" s="60" t="s">
        <v>113</v>
      </c>
      <c r="T249" s="60" t="s">
        <v>113</v>
      </c>
      <c r="U249" s="60" t="s">
        <v>113</v>
      </c>
      <c r="V249" s="154" t="str">
        <f t="shared" si="72"/>
        <v/>
      </c>
      <c r="W249" s="155" t="str">
        <f t="shared" si="73"/>
        <v/>
      </c>
      <c r="X249" s="60" t="s">
        <v>113</v>
      </c>
      <c r="Y249" s="60" t="s">
        <v>113</v>
      </c>
      <c r="Z249" s="20" t="s">
        <v>113</v>
      </c>
      <c r="AA249" s="21" t="s">
        <v>113</v>
      </c>
      <c r="AB249" s="21"/>
      <c r="AC249" s="60" t="str">
        <f t="shared" si="70"/>
        <v/>
      </c>
    </row>
    <row r="250" spans="1:29" x14ac:dyDescent="0.2">
      <c r="A250" s="143" t="s">
        <v>114</v>
      </c>
      <c r="B250" s="28" t="s">
        <v>111</v>
      </c>
      <c r="C250" s="144">
        <v>0</v>
      </c>
      <c r="D250" s="145">
        <v>83</v>
      </c>
      <c r="E250" s="146" t="s">
        <v>112</v>
      </c>
      <c r="F250" s="7" t="s">
        <v>113</v>
      </c>
      <c r="G250" s="7" t="s">
        <v>113</v>
      </c>
      <c r="H250" s="7" t="s">
        <v>113</v>
      </c>
      <c r="I250" s="7" t="s">
        <v>113</v>
      </c>
      <c r="J250" s="147" t="s">
        <v>113</v>
      </c>
      <c r="K250" s="147" t="s">
        <v>113</v>
      </c>
      <c r="L250" s="147" t="s">
        <v>113</v>
      </c>
      <c r="M250" s="7" t="s">
        <v>113</v>
      </c>
      <c r="N250" s="7" t="s">
        <v>113</v>
      </c>
      <c r="O250" s="7" t="s">
        <v>113</v>
      </c>
      <c r="P250" s="7" t="s">
        <v>113</v>
      </c>
      <c r="Q250" s="147" t="s">
        <v>113</v>
      </c>
      <c r="R250" s="147" t="s">
        <v>113</v>
      </c>
      <c r="S250" s="7" t="s">
        <v>113</v>
      </c>
      <c r="T250" s="7" t="s">
        <v>113</v>
      </c>
      <c r="U250" s="147" t="s">
        <v>113</v>
      </c>
      <c r="V250" s="147" t="str">
        <f t="shared" ref="V250:W250" si="74">IF(ISERR(AVERAGE(V251:V252)),"",AVERAGE(V251:V252))</f>
        <v/>
      </c>
      <c r="W250" s="147" t="str">
        <f t="shared" si="74"/>
        <v/>
      </c>
      <c r="X250" s="7" t="s">
        <v>113</v>
      </c>
      <c r="Y250" s="7" t="s">
        <v>113</v>
      </c>
      <c r="Z250" s="7" t="s">
        <v>113</v>
      </c>
      <c r="AA250" s="7" t="s">
        <v>113</v>
      </c>
      <c r="AB250" s="12"/>
      <c r="AC250" s="7" t="str">
        <f t="shared" si="70"/>
        <v/>
      </c>
    </row>
    <row r="251" spans="1:29" x14ac:dyDescent="0.2">
      <c r="A251" s="143" t="s">
        <v>114</v>
      </c>
      <c r="B251" s="49" t="s">
        <v>111</v>
      </c>
      <c r="C251" s="26">
        <v>0</v>
      </c>
      <c r="D251" s="35"/>
      <c r="E251" s="31">
        <v>1</v>
      </c>
      <c r="F251" s="60" t="s">
        <v>113</v>
      </c>
      <c r="G251" s="60" t="s">
        <v>113</v>
      </c>
      <c r="H251" s="60" t="s">
        <v>113</v>
      </c>
      <c r="I251" s="60" t="s">
        <v>113</v>
      </c>
      <c r="J251" s="148" t="s">
        <v>113</v>
      </c>
      <c r="K251" s="148" t="s">
        <v>113</v>
      </c>
      <c r="L251" s="148" t="s">
        <v>113</v>
      </c>
      <c r="M251" s="60" t="s">
        <v>113</v>
      </c>
      <c r="N251" s="60" t="s">
        <v>113</v>
      </c>
      <c r="O251" s="60" t="s">
        <v>113</v>
      </c>
      <c r="P251" s="60" t="s">
        <v>113</v>
      </c>
      <c r="Q251" s="59" t="s">
        <v>113</v>
      </c>
      <c r="R251" s="59" t="s">
        <v>113</v>
      </c>
      <c r="S251" s="60" t="s">
        <v>113</v>
      </c>
      <c r="T251" s="60" t="s">
        <v>113</v>
      </c>
      <c r="U251" s="60" t="s">
        <v>113</v>
      </c>
      <c r="V251" s="154" t="str">
        <f t="shared" ref="V251:V252" si="75">IF(ISERR(Q251*($V$2/30)^2),"",(Q251*($V$2/30)^2))</f>
        <v/>
      </c>
      <c r="W251" s="155" t="str">
        <f t="shared" ref="W251:W252" si="76">IF(ISERR(((V251/453.59)*$V$2/375)*746),"",(((V251/453.59)*$V$2/375)*746))</f>
        <v/>
      </c>
      <c r="X251" s="60" t="s">
        <v>113</v>
      </c>
      <c r="Y251" s="60" t="s">
        <v>113</v>
      </c>
      <c r="Z251" s="18" t="s">
        <v>113</v>
      </c>
      <c r="AA251" s="17" t="s">
        <v>113</v>
      </c>
      <c r="AB251" s="17"/>
      <c r="AC251" s="60" t="str">
        <f t="shared" si="70"/>
        <v/>
      </c>
    </row>
    <row r="252" spans="1:29" ht="13.5" thickBot="1" x14ac:dyDescent="0.25">
      <c r="A252" s="149" t="s">
        <v>114</v>
      </c>
      <c r="B252" s="50" t="s">
        <v>111</v>
      </c>
      <c r="C252" s="27">
        <v>0</v>
      </c>
      <c r="D252" s="36"/>
      <c r="E252" s="32">
        <v>2</v>
      </c>
      <c r="F252" s="60" t="s">
        <v>113</v>
      </c>
      <c r="G252" s="60" t="s">
        <v>113</v>
      </c>
      <c r="H252" s="60" t="s">
        <v>113</v>
      </c>
      <c r="I252" s="60" t="s">
        <v>113</v>
      </c>
      <c r="J252" s="148" t="s">
        <v>113</v>
      </c>
      <c r="K252" s="148" t="s">
        <v>113</v>
      </c>
      <c r="L252" s="148" t="s">
        <v>113</v>
      </c>
      <c r="M252" s="60" t="s">
        <v>113</v>
      </c>
      <c r="N252" s="60" t="s">
        <v>113</v>
      </c>
      <c r="O252" s="60" t="s">
        <v>113</v>
      </c>
      <c r="P252" s="60" t="s">
        <v>113</v>
      </c>
      <c r="Q252" s="59" t="s">
        <v>113</v>
      </c>
      <c r="R252" s="59" t="s">
        <v>113</v>
      </c>
      <c r="S252" s="60" t="s">
        <v>113</v>
      </c>
      <c r="T252" s="60" t="s">
        <v>113</v>
      </c>
      <c r="U252" s="60" t="s">
        <v>113</v>
      </c>
      <c r="V252" s="154" t="str">
        <f t="shared" si="75"/>
        <v/>
      </c>
      <c r="W252" s="155" t="str">
        <f t="shared" si="76"/>
        <v/>
      </c>
      <c r="X252" s="60" t="s">
        <v>113</v>
      </c>
      <c r="Y252" s="60" t="s">
        <v>113</v>
      </c>
      <c r="Z252" s="20" t="s">
        <v>113</v>
      </c>
      <c r="AA252" s="21" t="s">
        <v>113</v>
      </c>
      <c r="AB252" s="21"/>
      <c r="AC252" s="60" t="str">
        <f t="shared" si="70"/>
        <v/>
      </c>
    </row>
    <row r="253" spans="1:29" x14ac:dyDescent="0.2">
      <c r="A253" s="143" t="s">
        <v>114</v>
      </c>
      <c r="B253" s="28" t="s">
        <v>111</v>
      </c>
      <c r="C253" s="144">
        <v>0</v>
      </c>
      <c r="D253" s="145">
        <v>84</v>
      </c>
      <c r="E253" s="146" t="s">
        <v>112</v>
      </c>
      <c r="F253" s="7" t="s">
        <v>113</v>
      </c>
      <c r="G253" s="7" t="s">
        <v>113</v>
      </c>
      <c r="H253" s="7" t="s">
        <v>113</v>
      </c>
      <c r="I253" s="7" t="s">
        <v>113</v>
      </c>
      <c r="J253" s="147" t="s">
        <v>113</v>
      </c>
      <c r="K253" s="147" t="s">
        <v>113</v>
      </c>
      <c r="L253" s="147" t="s">
        <v>113</v>
      </c>
      <c r="M253" s="7" t="s">
        <v>113</v>
      </c>
      <c r="N253" s="7" t="s">
        <v>113</v>
      </c>
      <c r="O253" s="7" t="s">
        <v>113</v>
      </c>
      <c r="P253" s="7" t="s">
        <v>113</v>
      </c>
      <c r="Q253" s="147" t="s">
        <v>113</v>
      </c>
      <c r="R253" s="147" t="s">
        <v>113</v>
      </c>
      <c r="S253" s="7" t="s">
        <v>113</v>
      </c>
      <c r="T253" s="7" t="s">
        <v>113</v>
      </c>
      <c r="U253" s="147" t="s">
        <v>113</v>
      </c>
      <c r="V253" s="147" t="str">
        <f t="shared" ref="V253:W253" si="77">IF(ISERR(AVERAGE(V254:V255)),"",AVERAGE(V254:V255))</f>
        <v/>
      </c>
      <c r="W253" s="147" t="str">
        <f t="shared" si="77"/>
        <v/>
      </c>
      <c r="X253" s="7" t="s">
        <v>113</v>
      </c>
      <c r="Y253" s="7" t="s">
        <v>113</v>
      </c>
      <c r="Z253" s="7" t="s">
        <v>113</v>
      </c>
      <c r="AA253" s="7" t="s">
        <v>113</v>
      </c>
      <c r="AB253" s="12"/>
      <c r="AC253" s="7" t="str">
        <f t="shared" si="70"/>
        <v/>
      </c>
    </row>
    <row r="254" spans="1:29" x14ac:dyDescent="0.2">
      <c r="A254" s="143" t="s">
        <v>114</v>
      </c>
      <c r="B254" s="49" t="s">
        <v>111</v>
      </c>
      <c r="C254" s="26">
        <v>0</v>
      </c>
      <c r="D254" s="35"/>
      <c r="E254" s="31">
        <v>1</v>
      </c>
      <c r="F254" s="60" t="s">
        <v>113</v>
      </c>
      <c r="G254" s="60" t="s">
        <v>113</v>
      </c>
      <c r="H254" s="60" t="s">
        <v>113</v>
      </c>
      <c r="I254" s="60" t="s">
        <v>113</v>
      </c>
      <c r="J254" s="148" t="s">
        <v>113</v>
      </c>
      <c r="K254" s="148" t="s">
        <v>113</v>
      </c>
      <c r="L254" s="148" t="s">
        <v>113</v>
      </c>
      <c r="M254" s="60" t="s">
        <v>113</v>
      </c>
      <c r="N254" s="60" t="s">
        <v>113</v>
      </c>
      <c r="O254" s="60" t="s">
        <v>113</v>
      </c>
      <c r="P254" s="60" t="s">
        <v>113</v>
      </c>
      <c r="Q254" s="59" t="s">
        <v>113</v>
      </c>
      <c r="R254" s="59" t="s">
        <v>113</v>
      </c>
      <c r="S254" s="60" t="s">
        <v>113</v>
      </c>
      <c r="T254" s="60" t="s">
        <v>113</v>
      </c>
      <c r="U254" s="60" t="s">
        <v>113</v>
      </c>
      <c r="V254" s="154" t="str">
        <f t="shared" ref="V254:V255" si="78">IF(ISERR(Q254*($V$2/30)^2),"",(Q254*($V$2/30)^2))</f>
        <v/>
      </c>
      <c r="W254" s="155" t="str">
        <f t="shared" ref="W254:W255" si="79">IF(ISERR(((V254/453.59)*$V$2/375)*746),"",(((V254/453.59)*$V$2/375)*746))</f>
        <v/>
      </c>
      <c r="X254" s="60" t="s">
        <v>113</v>
      </c>
      <c r="Y254" s="60" t="s">
        <v>113</v>
      </c>
      <c r="Z254" s="18" t="s">
        <v>113</v>
      </c>
      <c r="AA254" s="17" t="s">
        <v>113</v>
      </c>
      <c r="AB254" s="17"/>
      <c r="AC254" s="60" t="str">
        <f t="shared" si="70"/>
        <v/>
      </c>
    </row>
    <row r="255" spans="1:29" ht="13.5" thickBot="1" x14ac:dyDescent="0.25">
      <c r="A255" s="149" t="s">
        <v>114</v>
      </c>
      <c r="B255" s="50" t="s">
        <v>111</v>
      </c>
      <c r="C255" s="27">
        <v>0</v>
      </c>
      <c r="D255" s="36"/>
      <c r="E255" s="32">
        <v>2</v>
      </c>
      <c r="F255" s="60" t="s">
        <v>113</v>
      </c>
      <c r="G255" s="60" t="s">
        <v>113</v>
      </c>
      <c r="H255" s="60" t="s">
        <v>113</v>
      </c>
      <c r="I255" s="60" t="s">
        <v>113</v>
      </c>
      <c r="J255" s="148" t="s">
        <v>113</v>
      </c>
      <c r="K255" s="148" t="s">
        <v>113</v>
      </c>
      <c r="L255" s="148" t="s">
        <v>113</v>
      </c>
      <c r="M255" s="60" t="s">
        <v>113</v>
      </c>
      <c r="N255" s="60" t="s">
        <v>113</v>
      </c>
      <c r="O255" s="60" t="s">
        <v>113</v>
      </c>
      <c r="P255" s="60" t="s">
        <v>113</v>
      </c>
      <c r="Q255" s="59" t="s">
        <v>113</v>
      </c>
      <c r="R255" s="59" t="s">
        <v>113</v>
      </c>
      <c r="S255" s="60" t="s">
        <v>113</v>
      </c>
      <c r="T255" s="60" t="s">
        <v>113</v>
      </c>
      <c r="U255" s="60" t="s">
        <v>113</v>
      </c>
      <c r="V255" s="154" t="str">
        <f t="shared" si="78"/>
        <v/>
      </c>
      <c r="W255" s="155" t="str">
        <f t="shared" si="79"/>
        <v/>
      </c>
      <c r="X255" s="60" t="s">
        <v>113</v>
      </c>
      <c r="Y255" s="60" t="s">
        <v>113</v>
      </c>
      <c r="Z255" s="20" t="s">
        <v>113</v>
      </c>
      <c r="AA255" s="21" t="s">
        <v>113</v>
      </c>
      <c r="AB255" s="21"/>
      <c r="AC255" s="60" t="str">
        <f t="shared" si="70"/>
        <v/>
      </c>
    </row>
    <row r="256" spans="1:29" x14ac:dyDescent="0.2">
      <c r="A256" s="143" t="s">
        <v>114</v>
      </c>
      <c r="B256" s="28" t="s">
        <v>111</v>
      </c>
      <c r="C256" s="144">
        <v>0</v>
      </c>
      <c r="D256" s="145">
        <v>85</v>
      </c>
      <c r="E256" s="146" t="s">
        <v>112</v>
      </c>
      <c r="F256" s="7" t="s">
        <v>113</v>
      </c>
      <c r="G256" s="7" t="s">
        <v>113</v>
      </c>
      <c r="H256" s="7" t="s">
        <v>113</v>
      </c>
      <c r="I256" s="7" t="s">
        <v>113</v>
      </c>
      <c r="J256" s="147" t="s">
        <v>113</v>
      </c>
      <c r="K256" s="147" t="s">
        <v>113</v>
      </c>
      <c r="L256" s="147" t="s">
        <v>113</v>
      </c>
      <c r="M256" s="7" t="s">
        <v>113</v>
      </c>
      <c r="N256" s="7" t="s">
        <v>113</v>
      </c>
      <c r="O256" s="7" t="s">
        <v>113</v>
      </c>
      <c r="P256" s="7" t="s">
        <v>113</v>
      </c>
      <c r="Q256" s="147" t="s">
        <v>113</v>
      </c>
      <c r="R256" s="147" t="s">
        <v>113</v>
      </c>
      <c r="S256" s="7" t="s">
        <v>113</v>
      </c>
      <c r="T256" s="7" t="s">
        <v>113</v>
      </c>
      <c r="U256" s="147" t="s">
        <v>113</v>
      </c>
      <c r="V256" s="147" t="str">
        <f t="shared" ref="V256:W256" si="80">IF(ISERR(AVERAGE(V257:V258)),"",AVERAGE(V257:V258))</f>
        <v/>
      </c>
      <c r="W256" s="147" t="str">
        <f t="shared" si="80"/>
        <v/>
      </c>
      <c r="X256" s="7" t="s">
        <v>113</v>
      </c>
      <c r="Y256" s="7" t="s">
        <v>113</v>
      </c>
      <c r="Z256" s="7" t="s">
        <v>113</v>
      </c>
      <c r="AA256" s="7" t="s">
        <v>113</v>
      </c>
      <c r="AB256" s="12"/>
      <c r="AC256" s="7" t="str">
        <f t="shared" si="70"/>
        <v/>
      </c>
    </row>
    <row r="257" spans="1:29" x14ac:dyDescent="0.2">
      <c r="A257" s="143" t="s">
        <v>114</v>
      </c>
      <c r="B257" s="49" t="s">
        <v>111</v>
      </c>
      <c r="C257" s="26">
        <v>0</v>
      </c>
      <c r="D257" s="35"/>
      <c r="E257" s="31">
        <v>1</v>
      </c>
      <c r="F257" s="60" t="s">
        <v>113</v>
      </c>
      <c r="G257" s="60" t="s">
        <v>113</v>
      </c>
      <c r="H257" s="60" t="s">
        <v>113</v>
      </c>
      <c r="I257" s="60" t="s">
        <v>113</v>
      </c>
      <c r="J257" s="148" t="s">
        <v>113</v>
      </c>
      <c r="K257" s="148" t="s">
        <v>113</v>
      </c>
      <c r="L257" s="148" t="s">
        <v>113</v>
      </c>
      <c r="M257" s="60" t="s">
        <v>113</v>
      </c>
      <c r="N257" s="60" t="s">
        <v>113</v>
      </c>
      <c r="O257" s="60" t="s">
        <v>113</v>
      </c>
      <c r="P257" s="60" t="s">
        <v>113</v>
      </c>
      <c r="Q257" s="59" t="s">
        <v>113</v>
      </c>
      <c r="R257" s="59" t="s">
        <v>113</v>
      </c>
      <c r="S257" s="60" t="s">
        <v>113</v>
      </c>
      <c r="T257" s="60" t="s">
        <v>113</v>
      </c>
      <c r="U257" s="60" t="s">
        <v>113</v>
      </c>
      <c r="V257" s="154" t="str">
        <f t="shared" ref="V257:V258" si="81">IF(ISERR(Q257*($V$2/30)^2),"",(Q257*($V$2/30)^2))</f>
        <v/>
      </c>
      <c r="W257" s="155" t="str">
        <f t="shared" ref="W257:W258" si="82">IF(ISERR(((V257/453.59)*$V$2/375)*746),"",(((V257/453.59)*$V$2/375)*746))</f>
        <v/>
      </c>
      <c r="X257" s="60" t="s">
        <v>113</v>
      </c>
      <c r="Y257" s="60" t="s">
        <v>113</v>
      </c>
      <c r="Z257" s="18" t="s">
        <v>113</v>
      </c>
      <c r="AA257" s="17" t="s">
        <v>113</v>
      </c>
      <c r="AB257" s="17"/>
      <c r="AC257" s="60" t="str">
        <f t="shared" si="70"/>
        <v/>
      </c>
    </row>
    <row r="258" spans="1:29" ht="13.5" thickBot="1" x14ac:dyDescent="0.25">
      <c r="A258" s="149" t="s">
        <v>114</v>
      </c>
      <c r="B258" s="50" t="s">
        <v>111</v>
      </c>
      <c r="C258" s="27">
        <v>0</v>
      </c>
      <c r="D258" s="36"/>
      <c r="E258" s="32">
        <v>2</v>
      </c>
      <c r="F258" s="60" t="s">
        <v>113</v>
      </c>
      <c r="G258" s="60" t="s">
        <v>113</v>
      </c>
      <c r="H258" s="60" t="s">
        <v>113</v>
      </c>
      <c r="I258" s="60" t="s">
        <v>113</v>
      </c>
      <c r="J258" s="148" t="s">
        <v>113</v>
      </c>
      <c r="K258" s="148" t="s">
        <v>113</v>
      </c>
      <c r="L258" s="148" t="s">
        <v>113</v>
      </c>
      <c r="M258" s="60" t="s">
        <v>113</v>
      </c>
      <c r="N258" s="60" t="s">
        <v>113</v>
      </c>
      <c r="O258" s="60" t="s">
        <v>113</v>
      </c>
      <c r="P258" s="60" t="s">
        <v>113</v>
      </c>
      <c r="Q258" s="59" t="s">
        <v>113</v>
      </c>
      <c r="R258" s="59" t="s">
        <v>113</v>
      </c>
      <c r="S258" s="60" t="s">
        <v>113</v>
      </c>
      <c r="T258" s="60" t="s">
        <v>113</v>
      </c>
      <c r="U258" s="60" t="s">
        <v>113</v>
      </c>
      <c r="V258" s="154" t="str">
        <f t="shared" si="81"/>
        <v/>
      </c>
      <c r="W258" s="155" t="str">
        <f t="shared" si="82"/>
        <v/>
      </c>
      <c r="X258" s="60" t="s">
        <v>113</v>
      </c>
      <c r="Y258" s="60" t="s">
        <v>113</v>
      </c>
      <c r="Z258" s="20" t="s">
        <v>113</v>
      </c>
      <c r="AA258" s="21" t="s">
        <v>113</v>
      </c>
      <c r="AB258" s="21"/>
      <c r="AC258" s="60" t="str">
        <f t="shared" si="70"/>
        <v/>
      </c>
    </row>
    <row r="259" spans="1:29" x14ac:dyDescent="0.2">
      <c r="A259" s="143" t="s">
        <v>114</v>
      </c>
      <c r="B259" s="28" t="s">
        <v>111</v>
      </c>
      <c r="C259" s="144">
        <v>0</v>
      </c>
      <c r="D259" s="145">
        <v>86</v>
      </c>
      <c r="E259" s="146" t="s">
        <v>112</v>
      </c>
      <c r="F259" s="7" t="s">
        <v>113</v>
      </c>
      <c r="G259" s="7" t="s">
        <v>113</v>
      </c>
      <c r="H259" s="7" t="s">
        <v>113</v>
      </c>
      <c r="I259" s="7" t="s">
        <v>113</v>
      </c>
      <c r="J259" s="147" t="s">
        <v>113</v>
      </c>
      <c r="K259" s="147" t="s">
        <v>113</v>
      </c>
      <c r="L259" s="147" t="s">
        <v>113</v>
      </c>
      <c r="M259" s="7" t="s">
        <v>113</v>
      </c>
      <c r="N259" s="7" t="s">
        <v>113</v>
      </c>
      <c r="O259" s="7" t="s">
        <v>113</v>
      </c>
      <c r="P259" s="7" t="s">
        <v>113</v>
      </c>
      <c r="Q259" s="147" t="s">
        <v>113</v>
      </c>
      <c r="R259" s="147" t="s">
        <v>113</v>
      </c>
      <c r="S259" s="7" t="s">
        <v>113</v>
      </c>
      <c r="T259" s="7" t="s">
        <v>113</v>
      </c>
      <c r="U259" s="147" t="s">
        <v>113</v>
      </c>
      <c r="V259" s="147" t="str">
        <f t="shared" ref="V259:W259" si="83">IF(ISERR(AVERAGE(V260:V261)),"",AVERAGE(V260:V261))</f>
        <v/>
      </c>
      <c r="W259" s="147" t="str">
        <f t="shared" si="83"/>
        <v/>
      </c>
      <c r="X259" s="7" t="s">
        <v>113</v>
      </c>
      <c r="Y259" s="7" t="s">
        <v>113</v>
      </c>
      <c r="Z259" s="7" t="s">
        <v>113</v>
      </c>
      <c r="AA259" s="7" t="s">
        <v>113</v>
      </c>
      <c r="AB259" s="12"/>
      <c r="AC259" s="7" t="str">
        <f t="shared" si="70"/>
        <v/>
      </c>
    </row>
    <row r="260" spans="1:29" x14ac:dyDescent="0.2">
      <c r="A260" s="143" t="s">
        <v>114</v>
      </c>
      <c r="B260" s="49" t="s">
        <v>111</v>
      </c>
      <c r="C260" s="26">
        <v>0</v>
      </c>
      <c r="D260" s="35"/>
      <c r="E260" s="31">
        <v>1</v>
      </c>
      <c r="F260" s="60" t="s">
        <v>113</v>
      </c>
      <c r="G260" s="60" t="s">
        <v>113</v>
      </c>
      <c r="H260" s="60" t="s">
        <v>113</v>
      </c>
      <c r="I260" s="60" t="s">
        <v>113</v>
      </c>
      <c r="J260" s="148" t="s">
        <v>113</v>
      </c>
      <c r="K260" s="148" t="s">
        <v>113</v>
      </c>
      <c r="L260" s="148" t="s">
        <v>113</v>
      </c>
      <c r="M260" s="60" t="s">
        <v>113</v>
      </c>
      <c r="N260" s="60" t="s">
        <v>113</v>
      </c>
      <c r="O260" s="60" t="s">
        <v>113</v>
      </c>
      <c r="P260" s="60" t="s">
        <v>113</v>
      </c>
      <c r="Q260" s="59" t="s">
        <v>113</v>
      </c>
      <c r="R260" s="59" t="s">
        <v>113</v>
      </c>
      <c r="S260" s="60" t="s">
        <v>113</v>
      </c>
      <c r="T260" s="60" t="s">
        <v>113</v>
      </c>
      <c r="U260" s="60" t="s">
        <v>113</v>
      </c>
      <c r="V260" s="154" t="str">
        <f t="shared" ref="V260:V261" si="84">IF(ISERR(Q260*($V$2/30)^2),"",(Q260*($V$2/30)^2))</f>
        <v/>
      </c>
      <c r="W260" s="155" t="str">
        <f t="shared" ref="W260:W261" si="85">IF(ISERR(((V260/453.59)*$V$2/375)*746),"",(((V260/453.59)*$V$2/375)*746))</f>
        <v/>
      </c>
      <c r="X260" s="60" t="s">
        <v>113</v>
      </c>
      <c r="Y260" s="60" t="s">
        <v>113</v>
      </c>
      <c r="Z260" s="18" t="s">
        <v>113</v>
      </c>
      <c r="AA260" s="17" t="s">
        <v>113</v>
      </c>
      <c r="AB260" s="17"/>
      <c r="AC260" s="60" t="str">
        <f t="shared" si="70"/>
        <v/>
      </c>
    </row>
    <row r="261" spans="1:29" ht="13.5" thickBot="1" x14ac:dyDescent="0.25">
      <c r="A261" s="149" t="s">
        <v>114</v>
      </c>
      <c r="B261" s="50" t="s">
        <v>111</v>
      </c>
      <c r="C261" s="27">
        <v>0</v>
      </c>
      <c r="D261" s="36"/>
      <c r="E261" s="32">
        <v>2</v>
      </c>
      <c r="F261" s="60" t="s">
        <v>113</v>
      </c>
      <c r="G261" s="60" t="s">
        <v>113</v>
      </c>
      <c r="H261" s="60" t="s">
        <v>113</v>
      </c>
      <c r="I261" s="60" t="s">
        <v>113</v>
      </c>
      <c r="J261" s="148" t="s">
        <v>113</v>
      </c>
      <c r="K261" s="148" t="s">
        <v>113</v>
      </c>
      <c r="L261" s="148" t="s">
        <v>113</v>
      </c>
      <c r="M261" s="60" t="s">
        <v>113</v>
      </c>
      <c r="N261" s="60" t="s">
        <v>113</v>
      </c>
      <c r="O261" s="60" t="s">
        <v>113</v>
      </c>
      <c r="P261" s="60" t="s">
        <v>113</v>
      </c>
      <c r="Q261" s="59" t="s">
        <v>113</v>
      </c>
      <c r="R261" s="59" t="s">
        <v>113</v>
      </c>
      <c r="S261" s="60" t="s">
        <v>113</v>
      </c>
      <c r="T261" s="60" t="s">
        <v>113</v>
      </c>
      <c r="U261" s="60" t="s">
        <v>113</v>
      </c>
      <c r="V261" s="154" t="str">
        <f t="shared" si="84"/>
        <v/>
      </c>
      <c r="W261" s="155" t="str">
        <f t="shared" si="85"/>
        <v/>
      </c>
      <c r="X261" s="60" t="s">
        <v>113</v>
      </c>
      <c r="Y261" s="60" t="s">
        <v>113</v>
      </c>
      <c r="Z261" s="20" t="s">
        <v>113</v>
      </c>
      <c r="AA261" s="21" t="s">
        <v>113</v>
      </c>
      <c r="AB261" s="21"/>
      <c r="AC261" s="60" t="str">
        <f t="shared" si="70"/>
        <v/>
      </c>
    </row>
    <row r="262" spans="1:29" x14ac:dyDescent="0.2">
      <c r="A262" s="143" t="s">
        <v>114</v>
      </c>
      <c r="B262" s="28" t="s">
        <v>111</v>
      </c>
      <c r="C262" s="144">
        <v>0</v>
      </c>
      <c r="D262" s="145">
        <v>87</v>
      </c>
      <c r="E262" s="146" t="s">
        <v>112</v>
      </c>
      <c r="F262" s="7" t="s">
        <v>113</v>
      </c>
      <c r="G262" s="7" t="s">
        <v>113</v>
      </c>
      <c r="H262" s="7" t="s">
        <v>113</v>
      </c>
      <c r="I262" s="7" t="s">
        <v>113</v>
      </c>
      <c r="J262" s="147" t="s">
        <v>113</v>
      </c>
      <c r="K262" s="147" t="s">
        <v>113</v>
      </c>
      <c r="L262" s="147" t="s">
        <v>113</v>
      </c>
      <c r="M262" s="7" t="s">
        <v>113</v>
      </c>
      <c r="N262" s="7" t="s">
        <v>113</v>
      </c>
      <c r="O262" s="7" t="s">
        <v>113</v>
      </c>
      <c r="P262" s="7" t="s">
        <v>113</v>
      </c>
      <c r="Q262" s="147" t="s">
        <v>113</v>
      </c>
      <c r="R262" s="147" t="s">
        <v>113</v>
      </c>
      <c r="S262" s="7" t="s">
        <v>113</v>
      </c>
      <c r="T262" s="7" t="s">
        <v>113</v>
      </c>
      <c r="U262" s="147" t="s">
        <v>113</v>
      </c>
      <c r="V262" s="147" t="str">
        <f t="shared" ref="V262:W262" si="86">IF(ISERR(AVERAGE(V263:V264)),"",AVERAGE(V263:V264))</f>
        <v/>
      </c>
      <c r="W262" s="147" t="str">
        <f t="shared" si="86"/>
        <v/>
      </c>
      <c r="X262" s="7" t="s">
        <v>113</v>
      </c>
      <c r="Y262" s="7" t="s">
        <v>113</v>
      </c>
      <c r="Z262" s="7" t="s">
        <v>113</v>
      </c>
      <c r="AA262" s="7" t="s">
        <v>113</v>
      </c>
      <c r="AB262" s="12"/>
      <c r="AC262" s="7" t="str">
        <f t="shared" si="70"/>
        <v/>
      </c>
    </row>
    <row r="263" spans="1:29" x14ac:dyDescent="0.2">
      <c r="A263" s="143" t="s">
        <v>114</v>
      </c>
      <c r="B263" s="49" t="s">
        <v>111</v>
      </c>
      <c r="C263" s="26">
        <v>0</v>
      </c>
      <c r="D263" s="35"/>
      <c r="E263" s="31">
        <v>1</v>
      </c>
      <c r="F263" s="60" t="s">
        <v>113</v>
      </c>
      <c r="G263" s="60" t="s">
        <v>113</v>
      </c>
      <c r="H263" s="60" t="s">
        <v>113</v>
      </c>
      <c r="I263" s="60" t="s">
        <v>113</v>
      </c>
      <c r="J263" s="148" t="s">
        <v>113</v>
      </c>
      <c r="K263" s="148" t="s">
        <v>113</v>
      </c>
      <c r="L263" s="148" t="s">
        <v>113</v>
      </c>
      <c r="M263" s="60" t="s">
        <v>113</v>
      </c>
      <c r="N263" s="60" t="s">
        <v>113</v>
      </c>
      <c r="O263" s="60" t="s">
        <v>113</v>
      </c>
      <c r="P263" s="60" t="s">
        <v>113</v>
      </c>
      <c r="Q263" s="59" t="s">
        <v>113</v>
      </c>
      <c r="R263" s="59" t="s">
        <v>113</v>
      </c>
      <c r="S263" s="60" t="s">
        <v>113</v>
      </c>
      <c r="T263" s="60" t="s">
        <v>113</v>
      </c>
      <c r="U263" s="60" t="s">
        <v>113</v>
      </c>
      <c r="V263" s="154" t="str">
        <f t="shared" ref="V263:V264" si="87">IF(ISERR(Q263*($V$2/30)^2),"",(Q263*($V$2/30)^2))</f>
        <v/>
      </c>
      <c r="W263" s="155" t="str">
        <f t="shared" ref="W263:W264" si="88">IF(ISERR(((V263/453.59)*$V$2/375)*746),"",(((V263/453.59)*$V$2/375)*746))</f>
        <v/>
      </c>
      <c r="X263" s="60" t="s">
        <v>113</v>
      </c>
      <c r="Y263" s="60" t="s">
        <v>113</v>
      </c>
      <c r="Z263" s="18" t="s">
        <v>113</v>
      </c>
      <c r="AA263" s="17" t="s">
        <v>113</v>
      </c>
      <c r="AB263" s="17"/>
      <c r="AC263" s="60" t="str">
        <f t="shared" si="70"/>
        <v/>
      </c>
    </row>
    <row r="264" spans="1:29" ht="13.5" thickBot="1" x14ac:dyDescent="0.25">
      <c r="A264" s="149" t="s">
        <v>114</v>
      </c>
      <c r="B264" s="50" t="s">
        <v>111</v>
      </c>
      <c r="C264" s="27">
        <v>0</v>
      </c>
      <c r="D264" s="36"/>
      <c r="E264" s="32">
        <v>2</v>
      </c>
      <c r="F264" s="60" t="s">
        <v>113</v>
      </c>
      <c r="G264" s="60" t="s">
        <v>113</v>
      </c>
      <c r="H264" s="60" t="s">
        <v>113</v>
      </c>
      <c r="I264" s="60" t="s">
        <v>113</v>
      </c>
      <c r="J264" s="148" t="s">
        <v>113</v>
      </c>
      <c r="K264" s="148" t="s">
        <v>113</v>
      </c>
      <c r="L264" s="148" t="s">
        <v>113</v>
      </c>
      <c r="M264" s="60" t="s">
        <v>113</v>
      </c>
      <c r="N264" s="60" t="s">
        <v>113</v>
      </c>
      <c r="O264" s="60" t="s">
        <v>113</v>
      </c>
      <c r="P264" s="60" t="s">
        <v>113</v>
      </c>
      <c r="Q264" s="59" t="s">
        <v>113</v>
      </c>
      <c r="R264" s="59" t="s">
        <v>113</v>
      </c>
      <c r="S264" s="60" t="s">
        <v>113</v>
      </c>
      <c r="T264" s="60" t="s">
        <v>113</v>
      </c>
      <c r="U264" s="60" t="s">
        <v>113</v>
      </c>
      <c r="V264" s="154" t="str">
        <f t="shared" si="87"/>
        <v/>
      </c>
      <c r="W264" s="155" t="str">
        <f t="shared" si="88"/>
        <v/>
      </c>
      <c r="X264" s="60" t="s">
        <v>113</v>
      </c>
      <c r="Y264" s="60" t="s">
        <v>113</v>
      </c>
      <c r="Z264" s="20" t="s">
        <v>113</v>
      </c>
      <c r="AA264" s="21" t="s">
        <v>113</v>
      </c>
      <c r="AB264" s="21"/>
      <c r="AC264" s="60" t="str">
        <f t="shared" si="70"/>
        <v/>
      </c>
    </row>
    <row r="265" spans="1:29" x14ac:dyDescent="0.2">
      <c r="A265" s="143" t="s">
        <v>114</v>
      </c>
      <c r="B265" s="28" t="s">
        <v>111</v>
      </c>
      <c r="C265" s="144">
        <v>0</v>
      </c>
      <c r="D265" s="145">
        <v>88</v>
      </c>
      <c r="E265" s="146" t="s">
        <v>112</v>
      </c>
      <c r="F265" s="7" t="s">
        <v>113</v>
      </c>
      <c r="G265" s="7" t="s">
        <v>113</v>
      </c>
      <c r="H265" s="7" t="s">
        <v>113</v>
      </c>
      <c r="I265" s="7" t="s">
        <v>113</v>
      </c>
      <c r="J265" s="147" t="s">
        <v>113</v>
      </c>
      <c r="K265" s="147" t="s">
        <v>113</v>
      </c>
      <c r="L265" s="147" t="s">
        <v>113</v>
      </c>
      <c r="M265" s="7" t="s">
        <v>113</v>
      </c>
      <c r="N265" s="7" t="s">
        <v>113</v>
      </c>
      <c r="O265" s="7" t="s">
        <v>113</v>
      </c>
      <c r="P265" s="7" t="s">
        <v>113</v>
      </c>
      <c r="Q265" s="147" t="s">
        <v>113</v>
      </c>
      <c r="R265" s="147" t="s">
        <v>113</v>
      </c>
      <c r="S265" s="7" t="s">
        <v>113</v>
      </c>
      <c r="T265" s="7" t="s">
        <v>113</v>
      </c>
      <c r="U265" s="147" t="s">
        <v>113</v>
      </c>
      <c r="V265" s="147" t="str">
        <f t="shared" ref="V265:W265" si="89">IF(ISERR(AVERAGE(V266:V267)),"",AVERAGE(V266:V267))</f>
        <v/>
      </c>
      <c r="W265" s="147" t="str">
        <f t="shared" si="89"/>
        <v/>
      </c>
      <c r="X265" s="7" t="s">
        <v>113</v>
      </c>
      <c r="Y265" s="7" t="s">
        <v>113</v>
      </c>
      <c r="Z265" s="7" t="s">
        <v>113</v>
      </c>
      <c r="AA265" s="7" t="s">
        <v>113</v>
      </c>
      <c r="AB265" s="12"/>
      <c r="AC265" s="7" t="str">
        <f t="shared" si="70"/>
        <v/>
      </c>
    </row>
    <row r="266" spans="1:29" x14ac:dyDescent="0.2">
      <c r="A266" s="143" t="s">
        <v>114</v>
      </c>
      <c r="B266" s="49" t="s">
        <v>111</v>
      </c>
      <c r="C266" s="26">
        <v>0</v>
      </c>
      <c r="D266" s="35"/>
      <c r="E266" s="31">
        <v>1</v>
      </c>
      <c r="F266" s="60" t="s">
        <v>113</v>
      </c>
      <c r="G266" s="60" t="s">
        <v>113</v>
      </c>
      <c r="H266" s="60" t="s">
        <v>113</v>
      </c>
      <c r="I266" s="60" t="s">
        <v>113</v>
      </c>
      <c r="J266" s="148" t="s">
        <v>113</v>
      </c>
      <c r="K266" s="148" t="s">
        <v>113</v>
      </c>
      <c r="L266" s="148" t="s">
        <v>113</v>
      </c>
      <c r="M266" s="60" t="s">
        <v>113</v>
      </c>
      <c r="N266" s="60" t="s">
        <v>113</v>
      </c>
      <c r="O266" s="60" t="s">
        <v>113</v>
      </c>
      <c r="P266" s="60" t="s">
        <v>113</v>
      </c>
      <c r="Q266" s="59" t="s">
        <v>113</v>
      </c>
      <c r="R266" s="59" t="s">
        <v>113</v>
      </c>
      <c r="S266" s="60" t="s">
        <v>113</v>
      </c>
      <c r="T266" s="60" t="s">
        <v>113</v>
      </c>
      <c r="U266" s="60" t="s">
        <v>113</v>
      </c>
      <c r="V266" s="154" t="str">
        <f t="shared" ref="V266:V267" si="90">IF(ISERR(Q266*($V$2/30)^2),"",(Q266*($V$2/30)^2))</f>
        <v/>
      </c>
      <c r="W266" s="155" t="str">
        <f t="shared" ref="W266:W267" si="91">IF(ISERR(((V266/453.59)*$V$2/375)*746),"",(((V266/453.59)*$V$2/375)*746))</f>
        <v/>
      </c>
      <c r="X266" s="60" t="s">
        <v>113</v>
      </c>
      <c r="Y266" s="60" t="s">
        <v>113</v>
      </c>
      <c r="Z266" s="18" t="s">
        <v>113</v>
      </c>
      <c r="AA266" s="17" t="s">
        <v>113</v>
      </c>
      <c r="AB266" s="17"/>
      <c r="AC266" s="60" t="str">
        <f t="shared" si="70"/>
        <v/>
      </c>
    </row>
    <row r="267" spans="1:29" ht="13.5" thickBot="1" x14ac:dyDescent="0.25">
      <c r="A267" s="149" t="s">
        <v>114</v>
      </c>
      <c r="B267" s="50" t="s">
        <v>111</v>
      </c>
      <c r="C267" s="27">
        <v>0</v>
      </c>
      <c r="D267" s="36"/>
      <c r="E267" s="32">
        <v>2</v>
      </c>
      <c r="F267" s="60" t="s">
        <v>113</v>
      </c>
      <c r="G267" s="60" t="s">
        <v>113</v>
      </c>
      <c r="H267" s="60" t="s">
        <v>113</v>
      </c>
      <c r="I267" s="60" t="s">
        <v>113</v>
      </c>
      <c r="J267" s="148" t="s">
        <v>113</v>
      </c>
      <c r="K267" s="148" t="s">
        <v>113</v>
      </c>
      <c r="L267" s="148" t="s">
        <v>113</v>
      </c>
      <c r="M267" s="60" t="s">
        <v>113</v>
      </c>
      <c r="N267" s="60" t="s">
        <v>113</v>
      </c>
      <c r="O267" s="60" t="s">
        <v>113</v>
      </c>
      <c r="P267" s="60" t="s">
        <v>113</v>
      </c>
      <c r="Q267" s="59" t="s">
        <v>113</v>
      </c>
      <c r="R267" s="59" t="s">
        <v>113</v>
      </c>
      <c r="S267" s="60" t="s">
        <v>113</v>
      </c>
      <c r="T267" s="60" t="s">
        <v>113</v>
      </c>
      <c r="U267" s="60" t="s">
        <v>113</v>
      </c>
      <c r="V267" s="154" t="str">
        <f t="shared" si="90"/>
        <v/>
      </c>
      <c r="W267" s="155" t="str">
        <f t="shared" si="91"/>
        <v/>
      </c>
      <c r="X267" s="60" t="s">
        <v>113</v>
      </c>
      <c r="Y267" s="60" t="s">
        <v>113</v>
      </c>
      <c r="Z267" s="20" t="s">
        <v>113</v>
      </c>
      <c r="AA267" s="21" t="s">
        <v>113</v>
      </c>
      <c r="AB267" s="21"/>
      <c r="AC267" s="60" t="str">
        <f t="shared" si="70"/>
        <v/>
      </c>
    </row>
    <row r="268" spans="1:29" x14ac:dyDescent="0.2">
      <c r="A268" s="143" t="s">
        <v>114</v>
      </c>
      <c r="B268" s="28" t="s">
        <v>111</v>
      </c>
      <c r="C268" s="144">
        <v>0</v>
      </c>
      <c r="D268" s="145">
        <v>89</v>
      </c>
      <c r="E268" s="146" t="s">
        <v>112</v>
      </c>
      <c r="F268" s="7" t="s">
        <v>113</v>
      </c>
      <c r="G268" s="7" t="s">
        <v>113</v>
      </c>
      <c r="H268" s="7" t="s">
        <v>113</v>
      </c>
      <c r="I268" s="7" t="s">
        <v>113</v>
      </c>
      <c r="J268" s="147" t="s">
        <v>113</v>
      </c>
      <c r="K268" s="147" t="s">
        <v>113</v>
      </c>
      <c r="L268" s="147" t="s">
        <v>113</v>
      </c>
      <c r="M268" s="7" t="s">
        <v>113</v>
      </c>
      <c r="N268" s="7" t="s">
        <v>113</v>
      </c>
      <c r="O268" s="7" t="s">
        <v>113</v>
      </c>
      <c r="P268" s="7" t="s">
        <v>113</v>
      </c>
      <c r="Q268" s="147" t="s">
        <v>113</v>
      </c>
      <c r="R268" s="147" t="s">
        <v>113</v>
      </c>
      <c r="S268" s="7" t="s">
        <v>113</v>
      </c>
      <c r="T268" s="7" t="s">
        <v>113</v>
      </c>
      <c r="U268" s="147" t="s">
        <v>113</v>
      </c>
      <c r="V268" s="147" t="str">
        <f t="shared" ref="V268:W268" si="92">IF(ISERR(AVERAGE(V269:V270)),"",AVERAGE(V269:V270))</f>
        <v/>
      </c>
      <c r="W268" s="147" t="str">
        <f t="shared" si="92"/>
        <v/>
      </c>
      <c r="X268" s="7" t="s">
        <v>113</v>
      </c>
      <c r="Y268" s="7" t="s">
        <v>113</v>
      </c>
      <c r="Z268" s="7" t="s">
        <v>113</v>
      </c>
      <c r="AA268" s="7" t="s">
        <v>113</v>
      </c>
      <c r="AB268" s="12"/>
      <c r="AC268" s="7" t="str">
        <f t="shared" si="70"/>
        <v/>
      </c>
    </row>
    <row r="269" spans="1:29" x14ac:dyDescent="0.2">
      <c r="A269" s="143" t="s">
        <v>114</v>
      </c>
      <c r="B269" s="49" t="s">
        <v>111</v>
      </c>
      <c r="C269" s="26">
        <v>0</v>
      </c>
      <c r="D269" s="35"/>
      <c r="E269" s="31">
        <v>1</v>
      </c>
      <c r="F269" s="60" t="s">
        <v>113</v>
      </c>
      <c r="G269" s="60" t="s">
        <v>113</v>
      </c>
      <c r="H269" s="60" t="s">
        <v>113</v>
      </c>
      <c r="I269" s="60" t="s">
        <v>113</v>
      </c>
      <c r="J269" s="148" t="s">
        <v>113</v>
      </c>
      <c r="K269" s="148" t="s">
        <v>113</v>
      </c>
      <c r="L269" s="148" t="s">
        <v>113</v>
      </c>
      <c r="M269" s="60" t="s">
        <v>113</v>
      </c>
      <c r="N269" s="60" t="s">
        <v>113</v>
      </c>
      <c r="O269" s="60" t="s">
        <v>113</v>
      </c>
      <c r="P269" s="60" t="s">
        <v>113</v>
      </c>
      <c r="Q269" s="59" t="s">
        <v>113</v>
      </c>
      <c r="R269" s="59" t="s">
        <v>113</v>
      </c>
      <c r="S269" s="60" t="s">
        <v>113</v>
      </c>
      <c r="T269" s="60" t="s">
        <v>113</v>
      </c>
      <c r="U269" s="60" t="s">
        <v>113</v>
      </c>
      <c r="V269" s="154" t="str">
        <f t="shared" ref="V269:V270" si="93">IF(ISERR(Q269*($V$2/30)^2),"",(Q269*($V$2/30)^2))</f>
        <v/>
      </c>
      <c r="W269" s="155" t="str">
        <f t="shared" ref="W269:W270" si="94">IF(ISERR(((V269/453.59)*$V$2/375)*746),"",(((V269/453.59)*$V$2/375)*746))</f>
        <v/>
      </c>
      <c r="X269" s="60" t="s">
        <v>113</v>
      </c>
      <c r="Y269" s="60" t="s">
        <v>113</v>
      </c>
      <c r="Z269" s="18" t="s">
        <v>113</v>
      </c>
      <c r="AA269" s="17" t="s">
        <v>113</v>
      </c>
      <c r="AB269" s="17"/>
      <c r="AC269" s="60" t="str">
        <f t="shared" si="70"/>
        <v/>
      </c>
    </row>
    <row r="270" spans="1:29" ht="13.5" thickBot="1" x14ac:dyDescent="0.25">
      <c r="A270" s="149" t="s">
        <v>114</v>
      </c>
      <c r="B270" s="50" t="s">
        <v>111</v>
      </c>
      <c r="C270" s="27">
        <v>0</v>
      </c>
      <c r="D270" s="36"/>
      <c r="E270" s="32">
        <v>2</v>
      </c>
      <c r="F270" s="60" t="s">
        <v>113</v>
      </c>
      <c r="G270" s="60" t="s">
        <v>113</v>
      </c>
      <c r="H270" s="60" t="s">
        <v>113</v>
      </c>
      <c r="I270" s="60" t="s">
        <v>113</v>
      </c>
      <c r="J270" s="148" t="s">
        <v>113</v>
      </c>
      <c r="K270" s="148" t="s">
        <v>113</v>
      </c>
      <c r="L270" s="148" t="s">
        <v>113</v>
      </c>
      <c r="M270" s="60" t="s">
        <v>113</v>
      </c>
      <c r="N270" s="60" t="s">
        <v>113</v>
      </c>
      <c r="O270" s="60" t="s">
        <v>113</v>
      </c>
      <c r="P270" s="60" t="s">
        <v>113</v>
      </c>
      <c r="Q270" s="59" t="s">
        <v>113</v>
      </c>
      <c r="R270" s="59" t="s">
        <v>113</v>
      </c>
      <c r="S270" s="60" t="s">
        <v>113</v>
      </c>
      <c r="T270" s="60" t="s">
        <v>113</v>
      </c>
      <c r="U270" s="60" t="s">
        <v>113</v>
      </c>
      <c r="V270" s="154" t="str">
        <f t="shared" si="93"/>
        <v/>
      </c>
      <c r="W270" s="155" t="str">
        <f t="shared" si="94"/>
        <v/>
      </c>
      <c r="X270" s="60" t="s">
        <v>113</v>
      </c>
      <c r="Y270" s="60" t="s">
        <v>113</v>
      </c>
      <c r="Z270" s="20" t="s">
        <v>113</v>
      </c>
      <c r="AA270" s="21" t="s">
        <v>113</v>
      </c>
      <c r="AB270" s="21"/>
      <c r="AC270" s="60" t="str">
        <f t="shared" si="70"/>
        <v/>
      </c>
    </row>
    <row r="271" spans="1:29" x14ac:dyDescent="0.2">
      <c r="A271" s="143" t="s">
        <v>114</v>
      </c>
      <c r="B271" s="28" t="s">
        <v>111</v>
      </c>
      <c r="C271" s="144">
        <v>0</v>
      </c>
      <c r="D271" s="145">
        <v>90</v>
      </c>
      <c r="E271" s="146" t="s">
        <v>112</v>
      </c>
      <c r="F271" s="7" t="s">
        <v>113</v>
      </c>
      <c r="G271" s="7" t="s">
        <v>113</v>
      </c>
      <c r="H271" s="7" t="s">
        <v>113</v>
      </c>
      <c r="I271" s="7" t="s">
        <v>113</v>
      </c>
      <c r="J271" s="147" t="s">
        <v>113</v>
      </c>
      <c r="K271" s="147" t="s">
        <v>113</v>
      </c>
      <c r="L271" s="147" t="s">
        <v>113</v>
      </c>
      <c r="M271" s="7" t="s">
        <v>113</v>
      </c>
      <c r="N271" s="7" t="s">
        <v>113</v>
      </c>
      <c r="O271" s="7" t="s">
        <v>113</v>
      </c>
      <c r="P271" s="7" t="s">
        <v>113</v>
      </c>
      <c r="Q271" s="147" t="s">
        <v>113</v>
      </c>
      <c r="R271" s="147" t="s">
        <v>113</v>
      </c>
      <c r="S271" s="7" t="s">
        <v>113</v>
      </c>
      <c r="T271" s="7" t="s">
        <v>113</v>
      </c>
      <c r="U271" s="147" t="s">
        <v>113</v>
      </c>
      <c r="V271" s="147" t="str">
        <f t="shared" ref="V271:W271" si="95">IF(ISERR(AVERAGE(V272:V273)),"",AVERAGE(V272:V273))</f>
        <v/>
      </c>
      <c r="W271" s="147" t="str">
        <f t="shared" si="95"/>
        <v/>
      </c>
      <c r="X271" s="7" t="s">
        <v>113</v>
      </c>
      <c r="Y271" s="7" t="s">
        <v>113</v>
      </c>
      <c r="Z271" s="7" t="s">
        <v>113</v>
      </c>
      <c r="AA271" s="7" t="s">
        <v>113</v>
      </c>
      <c r="AB271" s="12"/>
      <c r="AC271" s="7" t="str">
        <f t="shared" si="70"/>
        <v/>
      </c>
    </row>
    <row r="272" spans="1:29" x14ac:dyDescent="0.2">
      <c r="A272" s="143" t="s">
        <v>114</v>
      </c>
      <c r="B272" s="49" t="s">
        <v>111</v>
      </c>
      <c r="C272" s="26">
        <v>0</v>
      </c>
      <c r="D272" s="35"/>
      <c r="E272" s="31">
        <v>1</v>
      </c>
      <c r="F272" s="60" t="s">
        <v>113</v>
      </c>
      <c r="G272" s="60" t="s">
        <v>113</v>
      </c>
      <c r="H272" s="60" t="s">
        <v>113</v>
      </c>
      <c r="I272" s="60" t="s">
        <v>113</v>
      </c>
      <c r="J272" s="148" t="s">
        <v>113</v>
      </c>
      <c r="K272" s="148" t="s">
        <v>113</v>
      </c>
      <c r="L272" s="148" t="s">
        <v>113</v>
      </c>
      <c r="M272" s="60" t="s">
        <v>113</v>
      </c>
      <c r="N272" s="60" t="s">
        <v>113</v>
      </c>
      <c r="O272" s="60" t="s">
        <v>113</v>
      </c>
      <c r="P272" s="60" t="s">
        <v>113</v>
      </c>
      <c r="Q272" s="59" t="s">
        <v>113</v>
      </c>
      <c r="R272" s="59" t="s">
        <v>113</v>
      </c>
      <c r="S272" s="60" t="s">
        <v>113</v>
      </c>
      <c r="T272" s="60" t="s">
        <v>113</v>
      </c>
      <c r="U272" s="60" t="s">
        <v>113</v>
      </c>
      <c r="V272" s="154" t="str">
        <f t="shared" ref="V272:V273" si="96">IF(ISERR(Q272*($V$2/30)^2),"",(Q272*($V$2/30)^2))</f>
        <v/>
      </c>
      <c r="W272" s="155" t="str">
        <f t="shared" ref="W272:W273" si="97">IF(ISERR(((V272/453.59)*$V$2/375)*746),"",(((V272/453.59)*$V$2/375)*746))</f>
        <v/>
      </c>
      <c r="X272" s="60" t="s">
        <v>113</v>
      </c>
      <c r="Y272" s="60" t="s">
        <v>113</v>
      </c>
      <c r="Z272" s="18" t="s">
        <v>113</v>
      </c>
      <c r="AA272" s="17" t="s">
        <v>113</v>
      </c>
      <c r="AB272" s="17"/>
      <c r="AC272" s="60" t="str">
        <f t="shared" si="70"/>
        <v/>
      </c>
    </row>
    <row r="273" spans="1:29" ht="13.5" thickBot="1" x14ac:dyDescent="0.25">
      <c r="A273" s="149" t="s">
        <v>114</v>
      </c>
      <c r="B273" s="50" t="s">
        <v>111</v>
      </c>
      <c r="C273" s="27">
        <v>0</v>
      </c>
      <c r="D273" s="36"/>
      <c r="E273" s="32">
        <v>2</v>
      </c>
      <c r="F273" s="60" t="s">
        <v>113</v>
      </c>
      <c r="G273" s="60" t="s">
        <v>113</v>
      </c>
      <c r="H273" s="60" t="s">
        <v>113</v>
      </c>
      <c r="I273" s="60" t="s">
        <v>113</v>
      </c>
      <c r="J273" s="148" t="s">
        <v>113</v>
      </c>
      <c r="K273" s="148" t="s">
        <v>113</v>
      </c>
      <c r="L273" s="148" t="s">
        <v>113</v>
      </c>
      <c r="M273" s="60" t="s">
        <v>113</v>
      </c>
      <c r="N273" s="60" t="s">
        <v>113</v>
      </c>
      <c r="O273" s="60" t="s">
        <v>113</v>
      </c>
      <c r="P273" s="60" t="s">
        <v>113</v>
      </c>
      <c r="Q273" s="59" t="s">
        <v>113</v>
      </c>
      <c r="R273" s="59" t="s">
        <v>113</v>
      </c>
      <c r="S273" s="60" t="s">
        <v>113</v>
      </c>
      <c r="T273" s="60" t="s">
        <v>113</v>
      </c>
      <c r="U273" s="60" t="s">
        <v>113</v>
      </c>
      <c r="V273" s="154" t="str">
        <f t="shared" si="96"/>
        <v/>
      </c>
      <c r="W273" s="155" t="str">
        <f t="shared" si="97"/>
        <v/>
      </c>
      <c r="X273" s="60" t="s">
        <v>113</v>
      </c>
      <c r="Y273" s="60" t="s">
        <v>113</v>
      </c>
      <c r="Z273" s="20" t="s">
        <v>113</v>
      </c>
      <c r="AA273" s="21" t="s">
        <v>113</v>
      </c>
      <c r="AB273" s="21"/>
      <c r="AC273" s="60" t="str">
        <f t="shared" si="70"/>
        <v/>
      </c>
    </row>
    <row r="274" spans="1:29" x14ac:dyDescent="0.2">
      <c r="A274" s="143" t="s">
        <v>114</v>
      </c>
      <c r="B274" s="28" t="s">
        <v>111</v>
      </c>
      <c r="C274" s="144">
        <v>0</v>
      </c>
      <c r="D274" s="145">
        <v>91</v>
      </c>
      <c r="E274" s="146" t="s">
        <v>112</v>
      </c>
      <c r="F274" s="7" t="s">
        <v>113</v>
      </c>
      <c r="G274" s="7" t="s">
        <v>113</v>
      </c>
      <c r="H274" s="7" t="s">
        <v>113</v>
      </c>
      <c r="I274" s="7" t="s">
        <v>113</v>
      </c>
      <c r="J274" s="147" t="s">
        <v>113</v>
      </c>
      <c r="K274" s="147" t="s">
        <v>113</v>
      </c>
      <c r="L274" s="147" t="s">
        <v>113</v>
      </c>
      <c r="M274" s="7" t="s">
        <v>113</v>
      </c>
      <c r="N274" s="7" t="s">
        <v>113</v>
      </c>
      <c r="O274" s="7" t="s">
        <v>113</v>
      </c>
      <c r="P274" s="7" t="s">
        <v>113</v>
      </c>
      <c r="Q274" s="147" t="s">
        <v>113</v>
      </c>
      <c r="R274" s="147" t="s">
        <v>113</v>
      </c>
      <c r="S274" s="7" t="s">
        <v>113</v>
      </c>
      <c r="T274" s="7" t="s">
        <v>113</v>
      </c>
      <c r="U274" s="147" t="s">
        <v>113</v>
      </c>
      <c r="V274" s="147" t="str">
        <f t="shared" ref="V274:W274" si="98">IF(ISERR(AVERAGE(V275:V276)),"",AVERAGE(V275:V276))</f>
        <v/>
      </c>
      <c r="W274" s="147" t="str">
        <f t="shared" si="98"/>
        <v/>
      </c>
      <c r="X274" s="7" t="s">
        <v>113</v>
      </c>
      <c r="Y274" s="7" t="s">
        <v>113</v>
      </c>
      <c r="Z274" s="7" t="s">
        <v>113</v>
      </c>
      <c r="AA274" s="7" t="s">
        <v>113</v>
      </c>
      <c r="AB274" s="12"/>
      <c r="AC274" s="7" t="str">
        <f t="shared" si="70"/>
        <v/>
      </c>
    </row>
    <row r="275" spans="1:29" x14ac:dyDescent="0.2">
      <c r="A275" s="143" t="s">
        <v>114</v>
      </c>
      <c r="B275" s="49" t="s">
        <v>111</v>
      </c>
      <c r="C275" s="26">
        <v>0</v>
      </c>
      <c r="D275" s="35"/>
      <c r="E275" s="31">
        <v>1</v>
      </c>
      <c r="F275" s="60" t="s">
        <v>113</v>
      </c>
      <c r="G275" s="60" t="s">
        <v>113</v>
      </c>
      <c r="H275" s="60" t="s">
        <v>113</v>
      </c>
      <c r="I275" s="60" t="s">
        <v>113</v>
      </c>
      <c r="J275" s="148" t="s">
        <v>113</v>
      </c>
      <c r="K275" s="148" t="s">
        <v>113</v>
      </c>
      <c r="L275" s="148" t="s">
        <v>113</v>
      </c>
      <c r="M275" s="60" t="s">
        <v>113</v>
      </c>
      <c r="N275" s="60" t="s">
        <v>113</v>
      </c>
      <c r="O275" s="60" t="s">
        <v>113</v>
      </c>
      <c r="P275" s="60" t="s">
        <v>113</v>
      </c>
      <c r="Q275" s="59" t="s">
        <v>113</v>
      </c>
      <c r="R275" s="59" t="s">
        <v>113</v>
      </c>
      <c r="S275" s="60" t="s">
        <v>113</v>
      </c>
      <c r="T275" s="60" t="s">
        <v>113</v>
      </c>
      <c r="U275" s="60" t="s">
        <v>113</v>
      </c>
      <c r="V275" s="154" t="str">
        <f t="shared" ref="V275:V276" si="99">IF(ISERR(Q275*($V$2/30)^2),"",(Q275*($V$2/30)^2))</f>
        <v/>
      </c>
      <c r="W275" s="155" t="str">
        <f t="shared" ref="W275:W276" si="100">IF(ISERR(((V275/453.59)*$V$2/375)*746),"",(((V275/453.59)*$V$2/375)*746))</f>
        <v/>
      </c>
      <c r="X275" s="60" t="s">
        <v>113</v>
      </c>
      <c r="Y275" s="60" t="s">
        <v>113</v>
      </c>
      <c r="Z275" s="18" t="s">
        <v>113</v>
      </c>
      <c r="AA275" s="17" t="s">
        <v>113</v>
      </c>
      <c r="AB275" s="17"/>
      <c r="AC275" s="60" t="str">
        <f t="shared" si="70"/>
        <v/>
      </c>
    </row>
    <row r="276" spans="1:29" ht="13.5" thickBot="1" x14ac:dyDescent="0.25">
      <c r="A276" s="149" t="s">
        <v>114</v>
      </c>
      <c r="B276" s="50" t="s">
        <v>111</v>
      </c>
      <c r="C276" s="27">
        <v>0</v>
      </c>
      <c r="D276" s="36"/>
      <c r="E276" s="32">
        <v>2</v>
      </c>
      <c r="F276" s="60" t="s">
        <v>113</v>
      </c>
      <c r="G276" s="60" t="s">
        <v>113</v>
      </c>
      <c r="H276" s="60" t="s">
        <v>113</v>
      </c>
      <c r="I276" s="60" t="s">
        <v>113</v>
      </c>
      <c r="J276" s="148" t="s">
        <v>113</v>
      </c>
      <c r="K276" s="148" t="s">
        <v>113</v>
      </c>
      <c r="L276" s="148" t="s">
        <v>113</v>
      </c>
      <c r="M276" s="60" t="s">
        <v>113</v>
      </c>
      <c r="N276" s="60" t="s">
        <v>113</v>
      </c>
      <c r="O276" s="60" t="s">
        <v>113</v>
      </c>
      <c r="P276" s="60" t="s">
        <v>113</v>
      </c>
      <c r="Q276" s="59" t="s">
        <v>113</v>
      </c>
      <c r="R276" s="59" t="s">
        <v>113</v>
      </c>
      <c r="S276" s="60" t="s">
        <v>113</v>
      </c>
      <c r="T276" s="60" t="s">
        <v>113</v>
      </c>
      <c r="U276" s="60" t="s">
        <v>113</v>
      </c>
      <c r="V276" s="154" t="str">
        <f t="shared" si="99"/>
        <v/>
      </c>
      <c r="W276" s="155" t="str">
        <f t="shared" si="100"/>
        <v/>
      </c>
      <c r="X276" s="60" t="s">
        <v>113</v>
      </c>
      <c r="Y276" s="60" t="s">
        <v>113</v>
      </c>
      <c r="Z276" s="20" t="s">
        <v>113</v>
      </c>
      <c r="AA276" s="21" t="s">
        <v>113</v>
      </c>
      <c r="AB276" s="21"/>
      <c r="AC276" s="60" t="str">
        <f t="shared" si="70"/>
        <v/>
      </c>
    </row>
    <row r="277" spans="1:29" x14ac:dyDescent="0.2">
      <c r="A277" s="143" t="s">
        <v>114</v>
      </c>
      <c r="B277" s="28" t="s">
        <v>111</v>
      </c>
      <c r="C277" s="144">
        <v>0</v>
      </c>
      <c r="D277" s="145">
        <v>92</v>
      </c>
      <c r="E277" s="146" t="s">
        <v>112</v>
      </c>
      <c r="F277" s="7" t="s">
        <v>113</v>
      </c>
      <c r="G277" s="7" t="s">
        <v>113</v>
      </c>
      <c r="H277" s="7" t="s">
        <v>113</v>
      </c>
      <c r="I277" s="7" t="s">
        <v>113</v>
      </c>
      <c r="J277" s="147" t="s">
        <v>113</v>
      </c>
      <c r="K277" s="147" t="s">
        <v>113</v>
      </c>
      <c r="L277" s="147" t="s">
        <v>113</v>
      </c>
      <c r="M277" s="7" t="s">
        <v>113</v>
      </c>
      <c r="N277" s="7" t="s">
        <v>113</v>
      </c>
      <c r="O277" s="7" t="s">
        <v>113</v>
      </c>
      <c r="P277" s="7" t="s">
        <v>113</v>
      </c>
      <c r="Q277" s="147" t="s">
        <v>113</v>
      </c>
      <c r="R277" s="147" t="s">
        <v>113</v>
      </c>
      <c r="S277" s="7" t="s">
        <v>113</v>
      </c>
      <c r="T277" s="7" t="s">
        <v>113</v>
      </c>
      <c r="U277" s="147" t="s">
        <v>113</v>
      </c>
      <c r="V277" s="147" t="str">
        <f t="shared" ref="V277:W277" si="101">IF(ISERR(AVERAGE(V278:V279)),"",AVERAGE(V278:V279))</f>
        <v/>
      </c>
      <c r="W277" s="147" t="str">
        <f t="shared" si="101"/>
        <v/>
      </c>
      <c r="X277" s="7" t="s">
        <v>113</v>
      </c>
      <c r="Y277" s="7" t="s">
        <v>113</v>
      </c>
      <c r="Z277" s="7" t="s">
        <v>113</v>
      </c>
      <c r="AA277" s="7" t="s">
        <v>113</v>
      </c>
      <c r="AB277" s="12"/>
      <c r="AC277" s="7" t="str">
        <f t="shared" si="70"/>
        <v/>
      </c>
    </row>
    <row r="278" spans="1:29" x14ac:dyDescent="0.2">
      <c r="A278" s="143" t="s">
        <v>114</v>
      </c>
      <c r="B278" s="49" t="s">
        <v>111</v>
      </c>
      <c r="C278" s="26">
        <v>0</v>
      </c>
      <c r="D278" s="35"/>
      <c r="E278" s="31">
        <v>1</v>
      </c>
      <c r="F278" s="60" t="s">
        <v>113</v>
      </c>
      <c r="G278" s="60" t="s">
        <v>113</v>
      </c>
      <c r="H278" s="60" t="s">
        <v>113</v>
      </c>
      <c r="I278" s="60" t="s">
        <v>113</v>
      </c>
      <c r="J278" s="148" t="s">
        <v>113</v>
      </c>
      <c r="K278" s="148" t="s">
        <v>113</v>
      </c>
      <c r="L278" s="148" t="s">
        <v>113</v>
      </c>
      <c r="M278" s="60" t="s">
        <v>113</v>
      </c>
      <c r="N278" s="60" t="s">
        <v>113</v>
      </c>
      <c r="O278" s="60" t="s">
        <v>113</v>
      </c>
      <c r="P278" s="60" t="s">
        <v>113</v>
      </c>
      <c r="Q278" s="59" t="s">
        <v>113</v>
      </c>
      <c r="R278" s="59" t="s">
        <v>113</v>
      </c>
      <c r="S278" s="60" t="s">
        <v>113</v>
      </c>
      <c r="T278" s="60" t="s">
        <v>113</v>
      </c>
      <c r="U278" s="60" t="s">
        <v>113</v>
      </c>
      <c r="V278" s="154" t="str">
        <f t="shared" ref="V278:V279" si="102">IF(ISERR(Q278*($V$2/30)^2),"",(Q278*($V$2/30)^2))</f>
        <v/>
      </c>
      <c r="W278" s="155" t="str">
        <f t="shared" ref="W278:W279" si="103">IF(ISERR(((V278/453.59)*$V$2/375)*746),"",(((V278/453.59)*$V$2/375)*746))</f>
        <v/>
      </c>
      <c r="X278" s="60" t="s">
        <v>113</v>
      </c>
      <c r="Y278" s="60" t="s">
        <v>113</v>
      </c>
      <c r="Z278" s="18" t="s">
        <v>113</v>
      </c>
      <c r="AA278" s="17" t="s">
        <v>113</v>
      </c>
      <c r="AB278" s="17"/>
      <c r="AC278" s="60" t="str">
        <f t="shared" si="70"/>
        <v/>
      </c>
    </row>
    <row r="279" spans="1:29" ht="13.5" thickBot="1" x14ac:dyDescent="0.25">
      <c r="A279" s="149" t="s">
        <v>114</v>
      </c>
      <c r="B279" s="50" t="s">
        <v>111</v>
      </c>
      <c r="C279" s="27">
        <v>0</v>
      </c>
      <c r="D279" s="36"/>
      <c r="E279" s="32">
        <v>2</v>
      </c>
      <c r="F279" s="60" t="s">
        <v>113</v>
      </c>
      <c r="G279" s="60" t="s">
        <v>113</v>
      </c>
      <c r="H279" s="60" t="s">
        <v>113</v>
      </c>
      <c r="I279" s="60" t="s">
        <v>113</v>
      </c>
      <c r="J279" s="148" t="s">
        <v>113</v>
      </c>
      <c r="K279" s="148" t="s">
        <v>113</v>
      </c>
      <c r="L279" s="148" t="s">
        <v>113</v>
      </c>
      <c r="M279" s="60" t="s">
        <v>113</v>
      </c>
      <c r="N279" s="60" t="s">
        <v>113</v>
      </c>
      <c r="O279" s="60" t="s">
        <v>113</v>
      </c>
      <c r="P279" s="60" t="s">
        <v>113</v>
      </c>
      <c r="Q279" s="59" t="s">
        <v>113</v>
      </c>
      <c r="R279" s="59" t="s">
        <v>113</v>
      </c>
      <c r="S279" s="60" t="s">
        <v>113</v>
      </c>
      <c r="T279" s="60" t="s">
        <v>113</v>
      </c>
      <c r="U279" s="60" t="s">
        <v>113</v>
      </c>
      <c r="V279" s="154" t="str">
        <f t="shared" si="102"/>
        <v/>
      </c>
      <c r="W279" s="155" t="str">
        <f t="shared" si="103"/>
        <v/>
      </c>
      <c r="X279" s="60" t="s">
        <v>113</v>
      </c>
      <c r="Y279" s="60" t="s">
        <v>113</v>
      </c>
      <c r="Z279" s="20" t="s">
        <v>113</v>
      </c>
      <c r="AA279" s="21" t="s">
        <v>113</v>
      </c>
      <c r="AB279" s="21"/>
      <c r="AC279" s="60" t="str">
        <f t="shared" si="70"/>
        <v/>
      </c>
    </row>
    <row r="280" spans="1:29" x14ac:dyDescent="0.2">
      <c r="A280" s="143" t="s">
        <v>114</v>
      </c>
      <c r="B280" s="28" t="s">
        <v>125</v>
      </c>
      <c r="C280" s="144">
        <v>0</v>
      </c>
      <c r="D280" s="145">
        <v>93</v>
      </c>
      <c r="E280" s="146" t="s">
        <v>112</v>
      </c>
      <c r="F280" s="7" t="s">
        <v>113</v>
      </c>
      <c r="G280" s="7" t="s">
        <v>113</v>
      </c>
      <c r="H280" s="7" t="s">
        <v>113</v>
      </c>
      <c r="I280" s="7" t="s">
        <v>113</v>
      </c>
      <c r="J280" s="147" t="s">
        <v>113</v>
      </c>
      <c r="K280" s="147" t="s">
        <v>113</v>
      </c>
      <c r="L280" s="147" t="s">
        <v>113</v>
      </c>
      <c r="M280" s="7" t="s">
        <v>113</v>
      </c>
      <c r="N280" s="7" t="s">
        <v>113</v>
      </c>
      <c r="O280" s="7" t="s">
        <v>113</v>
      </c>
      <c r="P280" s="7" t="s">
        <v>113</v>
      </c>
      <c r="Q280" s="147" t="s">
        <v>113</v>
      </c>
      <c r="R280" s="147" t="s">
        <v>113</v>
      </c>
      <c r="S280" s="7" t="s">
        <v>113</v>
      </c>
      <c r="T280" s="7" t="s">
        <v>113</v>
      </c>
      <c r="U280" s="147" t="s">
        <v>113</v>
      </c>
      <c r="V280" s="147" t="str">
        <f t="shared" ref="V280:W280" si="104">IF(ISERR(AVERAGE(V281:V282)),"",AVERAGE(V281:V282))</f>
        <v/>
      </c>
      <c r="W280" s="147" t="str">
        <f t="shared" si="104"/>
        <v/>
      </c>
      <c r="X280" s="7" t="s">
        <v>113</v>
      </c>
      <c r="Y280" s="7" t="s">
        <v>113</v>
      </c>
      <c r="Z280" s="7" t="s">
        <v>113</v>
      </c>
      <c r="AA280" s="7" t="s">
        <v>113</v>
      </c>
      <c r="AB280" s="12"/>
      <c r="AC280" s="7" t="str">
        <f t="shared" si="70"/>
        <v/>
      </c>
    </row>
    <row r="281" spans="1:29" x14ac:dyDescent="0.2">
      <c r="A281" s="143" t="s">
        <v>114</v>
      </c>
      <c r="B281" s="49" t="s">
        <v>125</v>
      </c>
      <c r="C281" s="26">
        <v>0</v>
      </c>
      <c r="D281" s="35"/>
      <c r="E281" s="31">
        <v>1</v>
      </c>
      <c r="F281" s="60" t="s">
        <v>113</v>
      </c>
      <c r="G281" s="60" t="s">
        <v>113</v>
      </c>
      <c r="H281" s="60" t="s">
        <v>113</v>
      </c>
      <c r="I281" s="60" t="s">
        <v>113</v>
      </c>
      <c r="J281" s="148" t="s">
        <v>113</v>
      </c>
      <c r="K281" s="148" t="s">
        <v>113</v>
      </c>
      <c r="L281" s="148" t="s">
        <v>113</v>
      </c>
      <c r="M281" s="60" t="s">
        <v>113</v>
      </c>
      <c r="N281" s="60" t="s">
        <v>113</v>
      </c>
      <c r="O281" s="60" t="s">
        <v>113</v>
      </c>
      <c r="P281" s="60" t="s">
        <v>113</v>
      </c>
      <c r="Q281" s="59" t="s">
        <v>113</v>
      </c>
      <c r="R281" s="59" t="s">
        <v>113</v>
      </c>
      <c r="S281" s="60" t="s">
        <v>113</v>
      </c>
      <c r="T281" s="60" t="s">
        <v>113</v>
      </c>
      <c r="U281" s="60" t="s">
        <v>113</v>
      </c>
      <c r="V281" s="154" t="str">
        <f t="shared" ref="V281:V282" si="105">IF(ISERR(Q281*($V$2/30)^2),"",(Q281*($V$2/30)^2))</f>
        <v/>
      </c>
      <c r="W281" s="155" t="str">
        <f t="shared" ref="W281:W282" si="106">IF(ISERR(((V281/453.59)*$V$2/375)*746),"",(((V281/453.59)*$V$2/375)*746))</f>
        <v/>
      </c>
      <c r="X281" s="60" t="s">
        <v>113</v>
      </c>
      <c r="Y281" s="60" t="s">
        <v>113</v>
      </c>
      <c r="Z281" s="18" t="s">
        <v>113</v>
      </c>
      <c r="AA281" s="17" t="s">
        <v>113</v>
      </c>
      <c r="AB281" s="17"/>
      <c r="AC281" s="60" t="str">
        <f t="shared" si="70"/>
        <v/>
      </c>
    </row>
    <row r="282" spans="1:29" ht="13.5" thickBot="1" x14ac:dyDescent="0.25">
      <c r="A282" s="149" t="s">
        <v>114</v>
      </c>
      <c r="B282" s="50" t="s">
        <v>125</v>
      </c>
      <c r="C282" s="27">
        <v>0</v>
      </c>
      <c r="D282" s="36"/>
      <c r="E282" s="32">
        <v>2</v>
      </c>
      <c r="F282" s="60" t="s">
        <v>113</v>
      </c>
      <c r="G282" s="60" t="s">
        <v>113</v>
      </c>
      <c r="H282" s="60" t="s">
        <v>113</v>
      </c>
      <c r="I282" s="60" t="s">
        <v>113</v>
      </c>
      <c r="J282" s="148" t="s">
        <v>113</v>
      </c>
      <c r="K282" s="148" t="s">
        <v>113</v>
      </c>
      <c r="L282" s="148" t="s">
        <v>113</v>
      </c>
      <c r="M282" s="60" t="s">
        <v>113</v>
      </c>
      <c r="N282" s="60" t="s">
        <v>113</v>
      </c>
      <c r="O282" s="60" t="s">
        <v>113</v>
      </c>
      <c r="P282" s="60" t="s">
        <v>113</v>
      </c>
      <c r="Q282" s="59" t="s">
        <v>113</v>
      </c>
      <c r="R282" s="59" t="s">
        <v>113</v>
      </c>
      <c r="S282" s="60" t="s">
        <v>113</v>
      </c>
      <c r="T282" s="60" t="s">
        <v>113</v>
      </c>
      <c r="U282" s="60" t="s">
        <v>113</v>
      </c>
      <c r="V282" s="154" t="str">
        <f t="shared" si="105"/>
        <v/>
      </c>
      <c r="W282" s="155" t="str">
        <f t="shared" si="106"/>
        <v/>
      </c>
      <c r="X282" s="60" t="s">
        <v>113</v>
      </c>
      <c r="Y282" s="60" t="s">
        <v>113</v>
      </c>
      <c r="Z282" s="20" t="s">
        <v>113</v>
      </c>
      <c r="AA282" s="21" t="s">
        <v>113</v>
      </c>
      <c r="AB282" s="21"/>
      <c r="AC282" s="60" t="str">
        <f t="shared" si="70"/>
        <v/>
      </c>
    </row>
    <row r="283" spans="1:29" x14ac:dyDescent="0.2">
      <c r="A283" s="143" t="s">
        <v>114</v>
      </c>
      <c r="B283" s="28" t="s">
        <v>111</v>
      </c>
      <c r="C283" s="144">
        <v>0</v>
      </c>
      <c r="D283" s="145">
        <v>94</v>
      </c>
      <c r="E283" s="146" t="s">
        <v>112</v>
      </c>
      <c r="F283" s="7" t="s">
        <v>113</v>
      </c>
      <c r="G283" s="7" t="s">
        <v>113</v>
      </c>
      <c r="H283" s="7" t="s">
        <v>113</v>
      </c>
      <c r="I283" s="7" t="s">
        <v>113</v>
      </c>
      <c r="J283" s="147" t="s">
        <v>113</v>
      </c>
      <c r="K283" s="147" t="s">
        <v>113</v>
      </c>
      <c r="L283" s="147" t="s">
        <v>113</v>
      </c>
      <c r="M283" s="7" t="s">
        <v>113</v>
      </c>
      <c r="N283" s="7" t="s">
        <v>113</v>
      </c>
      <c r="O283" s="7" t="s">
        <v>113</v>
      </c>
      <c r="P283" s="7" t="s">
        <v>113</v>
      </c>
      <c r="Q283" s="147" t="s">
        <v>113</v>
      </c>
      <c r="R283" s="147" t="s">
        <v>113</v>
      </c>
      <c r="S283" s="7" t="s">
        <v>113</v>
      </c>
      <c r="T283" s="7" t="s">
        <v>113</v>
      </c>
      <c r="U283" s="147" t="s">
        <v>113</v>
      </c>
      <c r="V283" s="147" t="str">
        <f t="shared" ref="V283:W283" si="107">IF(ISERR(AVERAGE(V284:V285)),"",AVERAGE(V284:V285))</f>
        <v/>
      </c>
      <c r="W283" s="147" t="str">
        <f t="shared" si="107"/>
        <v/>
      </c>
      <c r="X283" s="7" t="s">
        <v>113</v>
      </c>
      <c r="Y283" s="7" t="s">
        <v>113</v>
      </c>
      <c r="Z283" s="7" t="s">
        <v>113</v>
      </c>
      <c r="AA283" s="7" t="s">
        <v>113</v>
      </c>
      <c r="AB283" s="12"/>
      <c r="AC283" s="7" t="str">
        <f t="shared" si="70"/>
        <v/>
      </c>
    </row>
    <row r="284" spans="1:29" x14ac:dyDescent="0.2">
      <c r="A284" s="143" t="s">
        <v>114</v>
      </c>
      <c r="B284" s="49" t="s">
        <v>111</v>
      </c>
      <c r="C284" s="26">
        <v>0</v>
      </c>
      <c r="D284" s="35"/>
      <c r="E284" s="31">
        <v>1</v>
      </c>
      <c r="F284" s="60" t="s">
        <v>113</v>
      </c>
      <c r="G284" s="60" t="s">
        <v>113</v>
      </c>
      <c r="H284" s="60" t="s">
        <v>113</v>
      </c>
      <c r="I284" s="60" t="s">
        <v>113</v>
      </c>
      <c r="J284" s="148" t="s">
        <v>113</v>
      </c>
      <c r="K284" s="148" t="s">
        <v>113</v>
      </c>
      <c r="L284" s="148" t="s">
        <v>113</v>
      </c>
      <c r="M284" s="60" t="s">
        <v>113</v>
      </c>
      <c r="N284" s="60" t="s">
        <v>113</v>
      </c>
      <c r="O284" s="60" t="s">
        <v>113</v>
      </c>
      <c r="P284" s="60" t="s">
        <v>113</v>
      </c>
      <c r="Q284" s="59" t="s">
        <v>113</v>
      </c>
      <c r="R284" s="59" t="s">
        <v>113</v>
      </c>
      <c r="S284" s="60" t="s">
        <v>113</v>
      </c>
      <c r="T284" s="60" t="s">
        <v>113</v>
      </c>
      <c r="U284" s="60" t="s">
        <v>113</v>
      </c>
      <c r="V284" s="154" t="str">
        <f t="shared" ref="V284:V285" si="108">IF(ISERR(Q284*($V$2/30)^2),"",(Q284*($V$2/30)^2))</f>
        <v/>
      </c>
      <c r="W284" s="155" t="str">
        <f t="shared" ref="W284:W285" si="109">IF(ISERR(((V284/453.59)*$V$2/375)*746),"",(((V284/453.59)*$V$2/375)*746))</f>
        <v/>
      </c>
      <c r="X284" s="60" t="s">
        <v>113</v>
      </c>
      <c r="Y284" s="60" t="s">
        <v>113</v>
      </c>
      <c r="Z284" s="18" t="s">
        <v>113</v>
      </c>
      <c r="AA284" s="17" t="s">
        <v>113</v>
      </c>
      <c r="AB284" s="17"/>
      <c r="AC284" s="60" t="str">
        <f t="shared" si="70"/>
        <v/>
      </c>
    </row>
    <row r="285" spans="1:29" ht="13.5" thickBot="1" x14ac:dyDescent="0.25">
      <c r="A285" s="149" t="s">
        <v>114</v>
      </c>
      <c r="B285" s="50" t="s">
        <v>111</v>
      </c>
      <c r="C285" s="27">
        <v>0</v>
      </c>
      <c r="D285" s="36"/>
      <c r="E285" s="32">
        <v>2</v>
      </c>
      <c r="F285" s="60" t="s">
        <v>113</v>
      </c>
      <c r="G285" s="60" t="s">
        <v>113</v>
      </c>
      <c r="H285" s="60" t="s">
        <v>113</v>
      </c>
      <c r="I285" s="60" t="s">
        <v>113</v>
      </c>
      <c r="J285" s="148" t="s">
        <v>113</v>
      </c>
      <c r="K285" s="148" t="s">
        <v>113</v>
      </c>
      <c r="L285" s="148" t="s">
        <v>113</v>
      </c>
      <c r="M285" s="60" t="s">
        <v>113</v>
      </c>
      <c r="N285" s="60" t="s">
        <v>113</v>
      </c>
      <c r="O285" s="60" t="s">
        <v>113</v>
      </c>
      <c r="P285" s="60" t="s">
        <v>113</v>
      </c>
      <c r="Q285" s="59" t="s">
        <v>113</v>
      </c>
      <c r="R285" s="59" t="s">
        <v>113</v>
      </c>
      <c r="S285" s="60" t="s">
        <v>113</v>
      </c>
      <c r="T285" s="60" t="s">
        <v>113</v>
      </c>
      <c r="U285" s="60" t="s">
        <v>113</v>
      </c>
      <c r="V285" s="154" t="str">
        <f t="shared" si="108"/>
        <v/>
      </c>
      <c r="W285" s="155" t="str">
        <f t="shared" si="109"/>
        <v/>
      </c>
      <c r="X285" s="60" t="s">
        <v>113</v>
      </c>
      <c r="Y285" s="60" t="s">
        <v>113</v>
      </c>
      <c r="Z285" s="20" t="s">
        <v>113</v>
      </c>
      <c r="AA285" s="21" t="s">
        <v>113</v>
      </c>
      <c r="AB285" s="21"/>
      <c r="AC285" s="60" t="str">
        <f t="shared" si="70"/>
        <v/>
      </c>
    </row>
    <row r="286" spans="1:29" x14ac:dyDescent="0.2">
      <c r="A286" s="143" t="s">
        <v>114</v>
      </c>
      <c r="B286" s="28" t="s">
        <v>125</v>
      </c>
      <c r="C286" s="144">
        <v>0</v>
      </c>
      <c r="D286" s="145">
        <v>95</v>
      </c>
      <c r="E286" s="146" t="s">
        <v>112</v>
      </c>
      <c r="F286" s="7" t="s">
        <v>113</v>
      </c>
      <c r="G286" s="7" t="s">
        <v>113</v>
      </c>
      <c r="H286" s="7" t="s">
        <v>113</v>
      </c>
      <c r="I286" s="7" t="s">
        <v>113</v>
      </c>
      <c r="J286" s="147" t="s">
        <v>113</v>
      </c>
      <c r="K286" s="147" t="s">
        <v>113</v>
      </c>
      <c r="L286" s="147" t="s">
        <v>113</v>
      </c>
      <c r="M286" s="7" t="s">
        <v>113</v>
      </c>
      <c r="N286" s="7" t="s">
        <v>113</v>
      </c>
      <c r="O286" s="7" t="s">
        <v>113</v>
      </c>
      <c r="P286" s="7" t="s">
        <v>113</v>
      </c>
      <c r="Q286" s="147" t="s">
        <v>113</v>
      </c>
      <c r="R286" s="147" t="s">
        <v>113</v>
      </c>
      <c r="S286" s="7" t="s">
        <v>113</v>
      </c>
      <c r="T286" s="7" t="s">
        <v>113</v>
      </c>
      <c r="U286" s="147" t="s">
        <v>113</v>
      </c>
      <c r="V286" s="147" t="str">
        <f t="shared" ref="V286:W286" si="110">IF(ISERR(AVERAGE(V287:V288)),"",AVERAGE(V287:V288))</f>
        <v/>
      </c>
      <c r="W286" s="147" t="str">
        <f t="shared" si="110"/>
        <v/>
      </c>
      <c r="X286" s="7" t="s">
        <v>113</v>
      </c>
      <c r="Y286" s="7" t="s">
        <v>113</v>
      </c>
      <c r="Z286" s="7" t="s">
        <v>113</v>
      </c>
      <c r="AA286" s="7" t="s">
        <v>113</v>
      </c>
      <c r="AB286" s="12"/>
      <c r="AC286" s="7" t="str">
        <f t="shared" si="70"/>
        <v/>
      </c>
    </row>
    <row r="287" spans="1:29" x14ac:dyDescent="0.2">
      <c r="A287" s="143" t="s">
        <v>114</v>
      </c>
      <c r="B287" s="49" t="s">
        <v>125</v>
      </c>
      <c r="C287" s="26">
        <v>0</v>
      </c>
      <c r="D287" s="35"/>
      <c r="E287" s="31">
        <v>1</v>
      </c>
      <c r="F287" s="60" t="s">
        <v>113</v>
      </c>
      <c r="G287" s="60" t="s">
        <v>113</v>
      </c>
      <c r="H287" s="60" t="s">
        <v>113</v>
      </c>
      <c r="I287" s="60" t="s">
        <v>113</v>
      </c>
      <c r="J287" s="148" t="s">
        <v>113</v>
      </c>
      <c r="K287" s="148" t="s">
        <v>113</v>
      </c>
      <c r="L287" s="148" t="s">
        <v>113</v>
      </c>
      <c r="M287" s="60" t="s">
        <v>113</v>
      </c>
      <c r="N287" s="60" t="s">
        <v>113</v>
      </c>
      <c r="O287" s="60" t="s">
        <v>113</v>
      </c>
      <c r="P287" s="60" t="s">
        <v>113</v>
      </c>
      <c r="Q287" s="59" t="s">
        <v>113</v>
      </c>
      <c r="R287" s="59" t="s">
        <v>113</v>
      </c>
      <c r="S287" s="60" t="s">
        <v>113</v>
      </c>
      <c r="T287" s="60" t="s">
        <v>113</v>
      </c>
      <c r="U287" s="60" t="s">
        <v>113</v>
      </c>
      <c r="V287" s="154" t="str">
        <f t="shared" ref="V287:V288" si="111">IF(ISERR(Q287*($V$2/30)^2),"",(Q287*($V$2/30)^2))</f>
        <v/>
      </c>
      <c r="W287" s="155" t="str">
        <f t="shared" ref="W287:W288" si="112">IF(ISERR(((V287/453.59)*$V$2/375)*746),"",(((V287/453.59)*$V$2/375)*746))</f>
        <v/>
      </c>
      <c r="X287" s="60" t="s">
        <v>113</v>
      </c>
      <c r="Y287" s="60" t="s">
        <v>113</v>
      </c>
      <c r="Z287" s="18" t="s">
        <v>113</v>
      </c>
      <c r="AA287" s="17" t="s">
        <v>113</v>
      </c>
      <c r="AB287" s="17"/>
      <c r="AC287" s="60" t="str">
        <f t="shared" si="70"/>
        <v/>
      </c>
    </row>
    <row r="288" spans="1:29" ht="13.5" thickBot="1" x14ac:dyDescent="0.25">
      <c r="A288" s="149" t="s">
        <v>114</v>
      </c>
      <c r="B288" s="50" t="s">
        <v>125</v>
      </c>
      <c r="C288" s="27">
        <v>0</v>
      </c>
      <c r="D288" s="36"/>
      <c r="E288" s="32">
        <v>2</v>
      </c>
      <c r="F288" s="60" t="s">
        <v>113</v>
      </c>
      <c r="G288" s="60" t="s">
        <v>113</v>
      </c>
      <c r="H288" s="60" t="s">
        <v>113</v>
      </c>
      <c r="I288" s="60" t="s">
        <v>113</v>
      </c>
      <c r="J288" s="148" t="s">
        <v>113</v>
      </c>
      <c r="K288" s="148" t="s">
        <v>113</v>
      </c>
      <c r="L288" s="148" t="s">
        <v>113</v>
      </c>
      <c r="M288" s="60" t="s">
        <v>113</v>
      </c>
      <c r="N288" s="60" t="s">
        <v>113</v>
      </c>
      <c r="O288" s="60" t="s">
        <v>113</v>
      </c>
      <c r="P288" s="60" t="s">
        <v>113</v>
      </c>
      <c r="Q288" s="59" t="s">
        <v>113</v>
      </c>
      <c r="R288" s="59" t="s">
        <v>113</v>
      </c>
      <c r="S288" s="60" t="s">
        <v>113</v>
      </c>
      <c r="T288" s="60" t="s">
        <v>113</v>
      </c>
      <c r="U288" s="60" t="s">
        <v>113</v>
      </c>
      <c r="V288" s="154" t="str">
        <f t="shared" si="111"/>
        <v/>
      </c>
      <c r="W288" s="155" t="str">
        <f t="shared" si="112"/>
        <v/>
      </c>
      <c r="X288" s="60" t="s">
        <v>113</v>
      </c>
      <c r="Y288" s="60" t="s">
        <v>113</v>
      </c>
      <c r="Z288" s="20" t="s">
        <v>113</v>
      </c>
      <c r="AA288" s="21" t="s">
        <v>113</v>
      </c>
      <c r="AB288" s="21"/>
      <c r="AC288" s="60" t="str">
        <f t="shared" si="70"/>
        <v/>
      </c>
    </row>
    <row r="289" spans="1:29" x14ac:dyDescent="0.2">
      <c r="A289" s="143" t="s">
        <v>114</v>
      </c>
      <c r="B289" s="28" t="s">
        <v>111</v>
      </c>
      <c r="C289" s="144">
        <v>0</v>
      </c>
      <c r="D289" s="145">
        <v>96</v>
      </c>
      <c r="E289" s="146" t="s">
        <v>112</v>
      </c>
      <c r="F289" s="7" t="s">
        <v>113</v>
      </c>
      <c r="G289" s="7" t="s">
        <v>113</v>
      </c>
      <c r="H289" s="7" t="s">
        <v>113</v>
      </c>
      <c r="I289" s="7" t="s">
        <v>113</v>
      </c>
      <c r="J289" s="147" t="s">
        <v>113</v>
      </c>
      <c r="K289" s="147" t="s">
        <v>113</v>
      </c>
      <c r="L289" s="147" t="s">
        <v>113</v>
      </c>
      <c r="M289" s="7" t="s">
        <v>113</v>
      </c>
      <c r="N289" s="7" t="s">
        <v>113</v>
      </c>
      <c r="O289" s="7" t="s">
        <v>113</v>
      </c>
      <c r="P289" s="7" t="s">
        <v>113</v>
      </c>
      <c r="Q289" s="147" t="s">
        <v>113</v>
      </c>
      <c r="R289" s="147" t="s">
        <v>113</v>
      </c>
      <c r="S289" s="7" t="s">
        <v>113</v>
      </c>
      <c r="T289" s="7" t="s">
        <v>113</v>
      </c>
      <c r="U289" s="147" t="s">
        <v>113</v>
      </c>
      <c r="V289" s="147" t="str">
        <f t="shared" ref="V289:W289" si="113">IF(ISERR(AVERAGE(V290:V291)),"",AVERAGE(V290:V291))</f>
        <v/>
      </c>
      <c r="W289" s="147" t="str">
        <f t="shared" si="113"/>
        <v/>
      </c>
      <c r="X289" s="7" t="s">
        <v>113</v>
      </c>
      <c r="Y289" s="7" t="s">
        <v>113</v>
      </c>
      <c r="Z289" s="7" t="s">
        <v>113</v>
      </c>
      <c r="AA289" s="7" t="s">
        <v>113</v>
      </c>
      <c r="AB289" s="12"/>
      <c r="AC289" s="7" t="str">
        <f t="shared" si="70"/>
        <v/>
      </c>
    </row>
    <row r="290" spans="1:29" x14ac:dyDescent="0.2">
      <c r="A290" s="143" t="s">
        <v>114</v>
      </c>
      <c r="B290" s="49" t="s">
        <v>111</v>
      </c>
      <c r="C290" s="26">
        <v>0</v>
      </c>
      <c r="D290" s="35"/>
      <c r="E290" s="31">
        <v>1</v>
      </c>
      <c r="F290" s="60" t="s">
        <v>113</v>
      </c>
      <c r="G290" s="60" t="s">
        <v>113</v>
      </c>
      <c r="H290" s="60" t="s">
        <v>113</v>
      </c>
      <c r="I290" s="60" t="s">
        <v>113</v>
      </c>
      <c r="J290" s="148" t="s">
        <v>113</v>
      </c>
      <c r="K290" s="148" t="s">
        <v>113</v>
      </c>
      <c r="L290" s="148" t="s">
        <v>113</v>
      </c>
      <c r="M290" s="60" t="s">
        <v>113</v>
      </c>
      <c r="N290" s="60" t="s">
        <v>113</v>
      </c>
      <c r="O290" s="60" t="s">
        <v>113</v>
      </c>
      <c r="P290" s="60" t="s">
        <v>113</v>
      </c>
      <c r="Q290" s="59" t="s">
        <v>113</v>
      </c>
      <c r="R290" s="59" t="s">
        <v>113</v>
      </c>
      <c r="S290" s="60" t="s">
        <v>113</v>
      </c>
      <c r="T290" s="60" t="s">
        <v>113</v>
      </c>
      <c r="U290" s="60" t="s">
        <v>113</v>
      </c>
      <c r="V290" s="154" t="str">
        <f t="shared" ref="V290:V291" si="114">IF(ISERR(Q290*($V$2/30)^2),"",(Q290*($V$2/30)^2))</f>
        <v/>
      </c>
      <c r="W290" s="155" t="str">
        <f t="shared" ref="W290:W291" si="115">IF(ISERR(((V290/453.59)*$V$2/375)*746),"",(((V290/453.59)*$V$2/375)*746))</f>
        <v/>
      </c>
      <c r="X290" s="60" t="s">
        <v>113</v>
      </c>
      <c r="Y290" s="60" t="s">
        <v>113</v>
      </c>
      <c r="Z290" s="18" t="s">
        <v>113</v>
      </c>
      <c r="AA290" s="17" t="s">
        <v>113</v>
      </c>
      <c r="AB290" s="17"/>
      <c r="AC290" s="60" t="str">
        <f t="shared" si="70"/>
        <v/>
      </c>
    </row>
    <row r="291" spans="1:29" ht="13.5" thickBot="1" x14ac:dyDescent="0.25">
      <c r="A291" s="149" t="s">
        <v>114</v>
      </c>
      <c r="B291" s="50" t="s">
        <v>111</v>
      </c>
      <c r="C291" s="27">
        <v>0</v>
      </c>
      <c r="D291" s="36"/>
      <c r="E291" s="32">
        <v>2</v>
      </c>
      <c r="F291" s="60" t="s">
        <v>113</v>
      </c>
      <c r="G291" s="60" t="s">
        <v>113</v>
      </c>
      <c r="H291" s="60" t="s">
        <v>113</v>
      </c>
      <c r="I291" s="60" t="s">
        <v>113</v>
      </c>
      <c r="J291" s="148" t="s">
        <v>113</v>
      </c>
      <c r="K291" s="148" t="s">
        <v>113</v>
      </c>
      <c r="L291" s="148" t="s">
        <v>113</v>
      </c>
      <c r="M291" s="60" t="s">
        <v>113</v>
      </c>
      <c r="N291" s="60" t="s">
        <v>113</v>
      </c>
      <c r="O291" s="60" t="s">
        <v>113</v>
      </c>
      <c r="P291" s="60" t="s">
        <v>113</v>
      </c>
      <c r="Q291" s="59" t="s">
        <v>113</v>
      </c>
      <c r="R291" s="59" t="s">
        <v>113</v>
      </c>
      <c r="S291" s="60" t="s">
        <v>113</v>
      </c>
      <c r="T291" s="60" t="s">
        <v>113</v>
      </c>
      <c r="U291" s="60" t="s">
        <v>113</v>
      </c>
      <c r="V291" s="154" t="str">
        <f t="shared" si="114"/>
        <v/>
      </c>
      <c r="W291" s="155" t="str">
        <f t="shared" si="115"/>
        <v/>
      </c>
      <c r="X291" s="60" t="s">
        <v>113</v>
      </c>
      <c r="Y291" s="60" t="s">
        <v>113</v>
      </c>
      <c r="Z291" s="20" t="s">
        <v>113</v>
      </c>
      <c r="AA291" s="21" t="s">
        <v>113</v>
      </c>
      <c r="AB291" s="21"/>
      <c r="AC291" s="60" t="str">
        <f t="shared" si="70"/>
        <v/>
      </c>
    </row>
    <row r="292" spans="1:29" x14ac:dyDescent="0.2">
      <c r="A292" s="143" t="s">
        <v>114</v>
      </c>
      <c r="B292" s="28" t="s">
        <v>125</v>
      </c>
      <c r="C292" s="144">
        <v>0</v>
      </c>
      <c r="D292" s="145">
        <v>97</v>
      </c>
      <c r="E292" s="146" t="s">
        <v>112</v>
      </c>
      <c r="F292" s="7" t="s">
        <v>113</v>
      </c>
      <c r="G292" s="7" t="s">
        <v>113</v>
      </c>
      <c r="H292" s="7" t="s">
        <v>113</v>
      </c>
      <c r="I292" s="7" t="s">
        <v>113</v>
      </c>
      <c r="J292" s="147" t="s">
        <v>113</v>
      </c>
      <c r="K292" s="147" t="s">
        <v>113</v>
      </c>
      <c r="L292" s="147" t="s">
        <v>113</v>
      </c>
      <c r="M292" s="7" t="s">
        <v>113</v>
      </c>
      <c r="N292" s="7" t="s">
        <v>113</v>
      </c>
      <c r="O292" s="7" t="s">
        <v>113</v>
      </c>
      <c r="P292" s="7" t="s">
        <v>113</v>
      </c>
      <c r="Q292" s="147" t="s">
        <v>113</v>
      </c>
      <c r="R292" s="147" t="s">
        <v>113</v>
      </c>
      <c r="S292" s="7" t="s">
        <v>113</v>
      </c>
      <c r="T292" s="7" t="s">
        <v>113</v>
      </c>
      <c r="U292" s="147" t="s">
        <v>113</v>
      </c>
      <c r="V292" s="147" t="str">
        <f t="shared" ref="V292:W292" si="116">IF(ISERR(AVERAGE(V293:V294)),"",AVERAGE(V293:V294))</f>
        <v/>
      </c>
      <c r="W292" s="147" t="str">
        <f t="shared" si="116"/>
        <v/>
      </c>
      <c r="X292" s="7" t="s">
        <v>113</v>
      </c>
      <c r="Y292" s="7" t="s">
        <v>113</v>
      </c>
      <c r="Z292" s="7" t="s">
        <v>113</v>
      </c>
      <c r="AA292" s="7" t="s">
        <v>113</v>
      </c>
      <c r="AB292" s="12"/>
      <c r="AC292" s="7" t="str">
        <f t="shared" si="70"/>
        <v/>
      </c>
    </row>
    <row r="293" spans="1:29" x14ac:dyDescent="0.2">
      <c r="A293" s="143" t="s">
        <v>114</v>
      </c>
      <c r="B293" s="49" t="s">
        <v>125</v>
      </c>
      <c r="C293" s="26">
        <v>0</v>
      </c>
      <c r="D293" s="35"/>
      <c r="E293" s="31">
        <v>1</v>
      </c>
      <c r="F293" s="60" t="s">
        <v>113</v>
      </c>
      <c r="G293" s="60" t="s">
        <v>113</v>
      </c>
      <c r="H293" s="60" t="s">
        <v>113</v>
      </c>
      <c r="I293" s="60" t="s">
        <v>113</v>
      </c>
      <c r="J293" s="148" t="s">
        <v>113</v>
      </c>
      <c r="K293" s="148" t="s">
        <v>113</v>
      </c>
      <c r="L293" s="148" t="s">
        <v>113</v>
      </c>
      <c r="M293" s="60" t="s">
        <v>113</v>
      </c>
      <c r="N293" s="60" t="s">
        <v>113</v>
      </c>
      <c r="O293" s="60" t="s">
        <v>113</v>
      </c>
      <c r="P293" s="60" t="s">
        <v>113</v>
      </c>
      <c r="Q293" s="59" t="s">
        <v>113</v>
      </c>
      <c r="R293" s="59" t="s">
        <v>113</v>
      </c>
      <c r="S293" s="60" t="s">
        <v>113</v>
      </c>
      <c r="T293" s="60" t="s">
        <v>113</v>
      </c>
      <c r="U293" s="60" t="s">
        <v>113</v>
      </c>
      <c r="V293" s="154" t="str">
        <f t="shared" ref="V293:V294" si="117">IF(ISERR(Q293*($V$2/30)^2),"",(Q293*($V$2/30)^2))</f>
        <v/>
      </c>
      <c r="W293" s="155" t="str">
        <f t="shared" ref="W293:W294" si="118">IF(ISERR(((V293/453.59)*$V$2/375)*746),"",(((V293/453.59)*$V$2/375)*746))</f>
        <v/>
      </c>
      <c r="X293" s="60" t="s">
        <v>113</v>
      </c>
      <c r="Y293" s="60" t="s">
        <v>113</v>
      </c>
      <c r="Z293" s="18" t="s">
        <v>113</v>
      </c>
      <c r="AA293" s="17" t="s">
        <v>113</v>
      </c>
      <c r="AB293" s="17"/>
      <c r="AC293" s="60" t="str">
        <f t="shared" si="70"/>
        <v/>
      </c>
    </row>
    <row r="294" spans="1:29" ht="13.5" thickBot="1" x14ac:dyDescent="0.25">
      <c r="A294" s="149" t="s">
        <v>114</v>
      </c>
      <c r="B294" s="50" t="s">
        <v>125</v>
      </c>
      <c r="C294" s="27">
        <v>0</v>
      </c>
      <c r="D294" s="36"/>
      <c r="E294" s="32">
        <v>2</v>
      </c>
      <c r="F294" s="60" t="s">
        <v>113</v>
      </c>
      <c r="G294" s="60" t="s">
        <v>113</v>
      </c>
      <c r="H294" s="60" t="s">
        <v>113</v>
      </c>
      <c r="I294" s="60" t="s">
        <v>113</v>
      </c>
      <c r="J294" s="148" t="s">
        <v>113</v>
      </c>
      <c r="K294" s="148" t="s">
        <v>113</v>
      </c>
      <c r="L294" s="148" t="s">
        <v>113</v>
      </c>
      <c r="M294" s="60" t="s">
        <v>113</v>
      </c>
      <c r="N294" s="60" t="s">
        <v>113</v>
      </c>
      <c r="O294" s="60" t="s">
        <v>113</v>
      </c>
      <c r="P294" s="60" t="s">
        <v>113</v>
      </c>
      <c r="Q294" s="59" t="s">
        <v>113</v>
      </c>
      <c r="R294" s="59" t="s">
        <v>113</v>
      </c>
      <c r="S294" s="60" t="s">
        <v>113</v>
      </c>
      <c r="T294" s="60" t="s">
        <v>113</v>
      </c>
      <c r="U294" s="60" t="s">
        <v>113</v>
      </c>
      <c r="V294" s="154" t="str">
        <f t="shared" si="117"/>
        <v/>
      </c>
      <c r="W294" s="155" t="str">
        <f t="shared" si="118"/>
        <v/>
      </c>
      <c r="X294" s="60" t="s">
        <v>113</v>
      </c>
      <c r="Y294" s="60" t="s">
        <v>113</v>
      </c>
      <c r="Z294" s="20" t="s">
        <v>113</v>
      </c>
      <c r="AA294" s="21" t="s">
        <v>113</v>
      </c>
      <c r="AB294" s="21"/>
      <c r="AC294" s="60" t="str">
        <f t="shared" si="70"/>
        <v/>
      </c>
    </row>
    <row r="295" spans="1:29" x14ac:dyDescent="0.2">
      <c r="A295" s="143" t="s">
        <v>114</v>
      </c>
      <c r="B295" s="28" t="s">
        <v>111</v>
      </c>
      <c r="C295" s="144">
        <v>0</v>
      </c>
      <c r="D295" s="145">
        <v>98</v>
      </c>
      <c r="E295" s="146" t="s">
        <v>112</v>
      </c>
      <c r="F295" s="7" t="s">
        <v>113</v>
      </c>
      <c r="G295" s="7" t="s">
        <v>113</v>
      </c>
      <c r="H295" s="7" t="s">
        <v>113</v>
      </c>
      <c r="I295" s="7" t="s">
        <v>113</v>
      </c>
      <c r="J295" s="147" t="s">
        <v>113</v>
      </c>
      <c r="K295" s="147" t="s">
        <v>113</v>
      </c>
      <c r="L295" s="147" t="s">
        <v>113</v>
      </c>
      <c r="M295" s="7" t="s">
        <v>113</v>
      </c>
      <c r="N295" s="7" t="s">
        <v>113</v>
      </c>
      <c r="O295" s="7" t="s">
        <v>113</v>
      </c>
      <c r="P295" s="7" t="s">
        <v>113</v>
      </c>
      <c r="Q295" s="147" t="s">
        <v>113</v>
      </c>
      <c r="R295" s="147" t="s">
        <v>113</v>
      </c>
      <c r="S295" s="7" t="s">
        <v>113</v>
      </c>
      <c r="T295" s="7" t="s">
        <v>113</v>
      </c>
      <c r="U295" s="147" t="s">
        <v>113</v>
      </c>
      <c r="V295" s="147" t="str">
        <f t="shared" ref="V295:W295" si="119">IF(ISERR(AVERAGE(V296:V297)),"",AVERAGE(V296:V297))</f>
        <v/>
      </c>
      <c r="W295" s="147" t="str">
        <f t="shared" si="119"/>
        <v/>
      </c>
      <c r="X295" s="7" t="s">
        <v>113</v>
      </c>
      <c r="Y295" s="7" t="s">
        <v>113</v>
      </c>
      <c r="Z295" s="7" t="s">
        <v>113</v>
      </c>
      <c r="AA295" s="7" t="s">
        <v>113</v>
      </c>
      <c r="AB295" s="12"/>
      <c r="AC295" s="7" t="str">
        <f t="shared" si="70"/>
        <v/>
      </c>
    </row>
    <row r="296" spans="1:29" x14ac:dyDescent="0.2">
      <c r="A296" s="143" t="s">
        <v>114</v>
      </c>
      <c r="B296" s="49" t="s">
        <v>111</v>
      </c>
      <c r="C296" s="26">
        <v>0</v>
      </c>
      <c r="D296" s="35"/>
      <c r="E296" s="31">
        <v>1</v>
      </c>
      <c r="F296" s="60" t="s">
        <v>113</v>
      </c>
      <c r="G296" s="60" t="s">
        <v>113</v>
      </c>
      <c r="H296" s="60" t="s">
        <v>113</v>
      </c>
      <c r="I296" s="60" t="s">
        <v>113</v>
      </c>
      <c r="J296" s="148" t="s">
        <v>113</v>
      </c>
      <c r="K296" s="148" t="s">
        <v>113</v>
      </c>
      <c r="L296" s="148" t="s">
        <v>113</v>
      </c>
      <c r="M296" s="60" t="s">
        <v>113</v>
      </c>
      <c r="N296" s="60" t="s">
        <v>113</v>
      </c>
      <c r="O296" s="60" t="s">
        <v>113</v>
      </c>
      <c r="P296" s="60" t="s">
        <v>113</v>
      </c>
      <c r="Q296" s="59" t="s">
        <v>113</v>
      </c>
      <c r="R296" s="59" t="s">
        <v>113</v>
      </c>
      <c r="S296" s="60" t="s">
        <v>113</v>
      </c>
      <c r="T296" s="60" t="s">
        <v>113</v>
      </c>
      <c r="U296" s="60" t="s">
        <v>113</v>
      </c>
      <c r="V296" s="154" t="str">
        <f t="shared" ref="V296:V297" si="120">IF(ISERR(Q296*($V$2/30)^2),"",(Q296*($V$2/30)^2))</f>
        <v/>
      </c>
      <c r="W296" s="155" t="str">
        <f t="shared" ref="W296:W297" si="121">IF(ISERR(((V296/453.59)*$V$2/375)*746),"",(((V296/453.59)*$V$2/375)*746))</f>
        <v/>
      </c>
      <c r="X296" s="60" t="s">
        <v>113</v>
      </c>
      <c r="Y296" s="60" t="s">
        <v>113</v>
      </c>
      <c r="Z296" s="18" t="s">
        <v>113</v>
      </c>
      <c r="AA296" s="17" t="s">
        <v>113</v>
      </c>
      <c r="AB296" s="17"/>
      <c r="AC296" s="60" t="str">
        <f t="shared" si="70"/>
        <v/>
      </c>
    </row>
    <row r="297" spans="1:29" ht="13.5" thickBot="1" x14ac:dyDescent="0.25">
      <c r="A297" s="149" t="s">
        <v>114</v>
      </c>
      <c r="B297" s="50" t="s">
        <v>111</v>
      </c>
      <c r="C297" s="27">
        <v>0</v>
      </c>
      <c r="D297" s="36"/>
      <c r="E297" s="32">
        <v>2</v>
      </c>
      <c r="F297" s="60" t="s">
        <v>113</v>
      </c>
      <c r="G297" s="60" t="s">
        <v>113</v>
      </c>
      <c r="H297" s="60" t="s">
        <v>113</v>
      </c>
      <c r="I297" s="60" t="s">
        <v>113</v>
      </c>
      <c r="J297" s="148" t="s">
        <v>113</v>
      </c>
      <c r="K297" s="148" t="s">
        <v>113</v>
      </c>
      <c r="L297" s="148" t="s">
        <v>113</v>
      </c>
      <c r="M297" s="60" t="s">
        <v>113</v>
      </c>
      <c r="N297" s="60" t="s">
        <v>113</v>
      </c>
      <c r="O297" s="60" t="s">
        <v>113</v>
      </c>
      <c r="P297" s="60" t="s">
        <v>113</v>
      </c>
      <c r="Q297" s="59" t="s">
        <v>113</v>
      </c>
      <c r="R297" s="59" t="s">
        <v>113</v>
      </c>
      <c r="S297" s="60" t="s">
        <v>113</v>
      </c>
      <c r="T297" s="60" t="s">
        <v>113</v>
      </c>
      <c r="U297" s="60" t="s">
        <v>113</v>
      </c>
      <c r="V297" s="154" t="str">
        <f t="shared" si="120"/>
        <v/>
      </c>
      <c r="W297" s="155" t="str">
        <f t="shared" si="121"/>
        <v/>
      </c>
      <c r="X297" s="60" t="s">
        <v>113</v>
      </c>
      <c r="Y297" s="60" t="s">
        <v>113</v>
      </c>
      <c r="Z297" s="20" t="s">
        <v>113</v>
      </c>
      <c r="AA297" s="21" t="s">
        <v>113</v>
      </c>
      <c r="AB297" s="21"/>
      <c r="AC297" s="60" t="str">
        <f t="shared" si="70"/>
        <v/>
      </c>
    </row>
    <row r="298" spans="1:29" x14ac:dyDescent="0.2">
      <c r="A298" s="143" t="s">
        <v>114</v>
      </c>
      <c r="B298" s="28" t="s">
        <v>125</v>
      </c>
      <c r="C298" s="144">
        <v>0</v>
      </c>
      <c r="D298" s="145">
        <v>99</v>
      </c>
      <c r="E298" s="146" t="s">
        <v>112</v>
      </c>
      <c r="F298" s="7" t="s">
        <v>113</v>
      </c>
      <c r="G298" s="7" t="s">
        <v>113</v>
      </c>
      <c r="H298" s="7" t="s">
        <v>113</v>
      </c>
      <c r="I298" s="7" t="s">
        <v>113</v>
      </c>
      <c r="J298" s="147" t="s">
        <v>113</v>
      </c>
      <c r="K298" s="147" t="s">
        <v>113</v>
      </c>
      <c r="L298" s="147" t="s">
        <v>113</v>
      </c>
      <c r="M298" s="7" t="s">
        <v>113</v>
      </c>
      <c r="N298" s="7" t="s">
        <v>113</v>
      </c>
      <c r="O298" s="7" t="s">
        <v>113</v>
      </c>
      <c r="P298" s="7" t="s">
        <v>113</v>
      </c>
      <c r="Q298" s="147" t="s">
        <v>113</v>
      </c>
      <c r="R298" s="147" t="s">
        <v>113</v>
      </c>
      <c r="S298" s="7" t="s">
        <v>113</v>
      </c>
      <c r="T298" s="7" t="s">
        <v>113</v>
      </c>
      <c r="U298" s="147" t="s">
        <v>113</v>
      </c>
      <c r="V298" s="147" t="str">
        <f t="shared" ref="V298:W298" si="122">IF(ISERR(AVERAGE(V299:V300)),"",AVERAGE(V299:V300))</f>
        <v/>
      </c>
      <c r="W298" s="147" t="str">
        <f t="shared" si="122"/>
        <v/>
      </c>
      <c r="X298" s="7" t="s">
        <v>113</v>
      </c>
      <c r="Y298" s="7" t="s">
        <v>113</v>
      </c>
      <c r="Z298" s="7" t="s">
        <v>113</v>
      </c>
      <c r="AA298" s="7" t="s">
        <v>113</v>
      </c>
      <c r="AB298" s="12"/>
      <c r="AC298" s="7" t="str">
        <f t="shared" si="70"/>
        <v/>
      </c>
    </row>
    <row r="299" spans="1:29" x14ac:dyDescent="0.2">
      <c r="A299" s="143" t="s">
        <v>114</v>
      </c>
      <c r="B299" s="49" t="s">
        <v>125</v>
      </c>
      <c r="C299" s="26">
        <v>0</v>
      </c>
      <c r="D299" s="35"/>
      <c r="E299" s="31">
        <v>1</v>
      </c>
      <c r="F299" s="60" t="s">
        <v>113</v>
      </c>
      <c r="G299" s="60" t="s">
        <v>113</v>
      </c>
      <c r="H299" s="60" t="s">
        <v>113</v>
      </c>
      <c r="I299" s="60" t="s">
        <v>113</v>
      </c>
      <c r="J299" s="148" t="s">
        <v>113</v>
      </c>
      <c r="K299" s="148" t="s">
        <v>113</v>
      </c>
      <c r="L299" s="148" t="s">
        <v>113</v>
      </c>
      <c r="M299" s="60" t="s">
        <v>113</v>
      </c>
      <c r="N299" s="60" t="s">
        <v>113</v>
      </c>
      <c r="O299" s="60" t="s">
        <v>113</v>
      </c>
      <c r="P299" s="60" t="s">
        <v>113</v>
      </c>
      <c r="Q299" s="59" t="s">
        <v>113</v>
      </c>
      <c r="R299" s="59" t="s">
        <v>113</v>
      </c>
      <c r="S299" s="60" t="s">
        <v>113</v>
      </c>
      <c r="T299" s="60" t="s">
        <v>113</v>
      </c>
      <c r="U299" s="60" t="s">
        <v>113</v>
      </c>
      <c r="V299" s="154" t="str">
        <f t="shared" ref="V299:V300" si="123">IF(ISERR(Q299*($V$2/30)^2),"",(Q299*($V$2/30)^2))</f>
        <v/>
      </c>
      <c r="W299" s="155" t="str">
        <f t="shared" ref="W299:W300" si="124">IF(ISERR(((V299/453.59)*$V$2/375)*746),"",(((V299/453.59)*$V$2/375)*746))</f>
        <v/>
      </c>
      <c r="X299" s="60" t="s">
        <v>113</v>
      </c>
      <c r="Y299" s="60" t="s">
        <v>113</v>
      </c>
      <c r="Z299" s="18" t="s">
        <v>113</v>
      </c>
      <c r="AA299" s="17" t="s">
        <v>113</v>
      </c>
      <c r="AB299" s="17"/>
      <c r="AC299" s="60" t="str">
        <f t="shared" si="70"/>
        <v/>
      </c>
    </row>
    <row r="300" spans="1:29" ht="13.5" thickBot="1" x14ac:dyDescent="0.25">
      <c r="A300" s="149" t="s">
        <v>114</v>
      </c>
      <c r="B300" s="50" t="s">
        <v>125</v>
      </c>
      <c r="C300" s="27">
        <v>0</v>
      </c>
      <c r="D300" s="36"/>
      <c r="E300" s="32">
        <v>2</v>
      </c>
      <c r="F300" s="60" t="s">
        <v>113</v>
      </c>
      <c r="G300" s="60" t="s">
        <v>113</v>
      </c>
      <c r="H300" s="60" t="s">
        <v>113</v>
      </c>
      <c r="I300" s="60" t="s">
        <v>113</v>
      </c>
      <c r="J300" s="148" t="s">
        <v>113</v>
      </c>
      <c r="K300" s="148" t="s">
        <v>113</v>
      </c>
      <c r="L300" s="148" t="s">
        <v>113</v>
      </c>
      <c r="M300" s="60" t="s">
        <v>113</v>
      </c>
      <c r="N300" s="60" t="s">
        <v>113</v>
      </c>
      <c r="O300" s="60" t="s">
        <v>113</v>
      </c>
      <c r="P300" s="60" t="s">
        <v>113</v>
      </c>
      <c r="Q300" s="59" t="s">
        <v>113</v>
      </c>
      <c r="R300" s="59" t="s">
        <v>113</v>
      </c>
      <c r="S300" s="60" t="s">
        <v>113</v>
      </c>
      <c r="T300" s="60" t="s">
        <v>113</v>
      </c>
      <c r="U300" s="60" t="s">
        <v>113</v>
      </c>
      <c r="V300" s="154" t="str">
        <f t="shared" si="123"/>
        <v/>
      </c>
      <c r="W300" s="155" t="str">
        <f t="shared" si="124"/>
        <v/>
      </c>
      <c r="X300" s="60" t="s">
        <v>113</v>
      </c>
      <c r="Y300" s="60" t="s">
        <v>113</v>
      </c>
      <c r="Z300" s="20" t="s">
        <v>113</v>
      </c>
      <c r="AA300" s="21" t="s">
        <v>113</v>
      </c>
      <c r="AB300" s="21"/>
      <c r="AC300" s="60" t="str">
        <f t="shared" si="70"/>
        <v/>
      </c>
    </row>
    <row r="301" spans="1:29" x14ac:dyDescent="0.2">
      <c r="A301" s="143" t="s">
        <v>114</v>
      </c>
      <c r="B301" s="28" t="s">
        <v>111</v>
      </c>
      <c r="C301" s="144">
        <v>0</v>
      </c>
      <c r="D301" s="145">
        <v>100</v>
      </c>
      <c r="E301" s="146" t="s">
        <v>112</v>
      </c>
      <c r="F301" s="7" t="s">
        <v>113</v>
      </c>
      <c r="G301" s="7" t="s">
        <v>113</v>
      </c>
      <c r="H301" s="7" t="s">
        <v>113</v>
      </c>
      <c r="I301" s="7" t="s">
        <v>113</v>
      </c>
      <c r="J301" s="147" t="s">
        <v>113</v>
      </c>
      <c r="K301" s="147" t="s">
        <v>113</v>
      </c>
      <c r="L301" s="147" t="s">
        <v>113</v>
      </c>
      <c r="M301" s="7" t="s">
        <v>113</v>
      </c>
      <c r="N301" s="7" t="s">
        <v>113</v>
      </c>
      <c r="O301" s="7" t="s">
        <v>113</v>
      </c>
      <c r="P301" s="7" t="s">
        <v>113</v>
      </c>
      <c r="Q301" s="147" t="s">
        <v>113</v>
      </c>
      <c r="R301" s="147" t="s">
        <v>113</v>
      </c>
      <c r="S301" s="7" t="s">
        <v>113</v>
      </c>
      <c r="T301" s="7" t="s">
        <v>113</v>
      </c>
      <c r="U301" s="147" t="s">
        <v>113</v>
      </c>
      <c r="V301" s="147" t="str">
        <f t="shared" ref="V301:W301" si="125">IF(ISERR(AVERAGE(V302:V303)),"",AVERAGE(V302:V303))</f>
        <v/>
      </c>
      <c r="W301" s="147" t="str">
        <f t="shared" si="125"/>
        <v/>
      </c>
      <c r="X301" s="7" t="s">
        <v>113</v>
      </c>
      <c r="Y301" s="7" t="s">
        <v>113</v>
      </c>
      <c r="Z301" s="7" t="s">
        <v>113</v>
      </c>
      <c r="AA301" s="7" t="s">
        <v>113</v>
      </c>
      <c r="AB301" s="12"/>
      <c r="AC301" s="7" t="str">
        <f t="shared" si="70"/>
        <v/>
      </c>
    </row>
    <row r="302" spans="1:29" x14ac:dyDescent="0.2">
      <c r="A302" s="143" t="s">
        <v>114</v>
      </c>
      <c r="B302" s="49" t="s">
        <v>111</v>
      </c>
      <c r="C302" s="26">
        <v>0</v>
      </c>
      <c r="D302" s="35"/>
      <c r="E302" s="31">
        <v>1</v>
      </c>
      <c r="F302" s="60" t="s">
        <v>113</v>
      </c>
      <c r="G302" s="60" t="s">
        <v>113</v>
      </c>
      <c r="H302" s="60" t="s">
        <v>113</v>
      </c>
      <c r="I302" s="60" t="s">
        <v>113</v>
      </c>
      <c r="J302" s="148" t="s">
        <v>113</v>
      </c>
      <c r="K302" s="148" t="s">
        <v>113</v>
      </c>
      <c r="L302" s="148" t="s">
        <v>113</v>
      </c>
      <c r="M302" s="60" t="s">
        <v>113</v>
      </c>
      <c r="N302" s="60" t="s">
        <v>113</v>
      </c>
      <c r="O302" s="60" t="s">
        <v>113</v>
      </c>
      <c r="P302" s="60" t="s">
        <v>113</v>
      </c>
      <c r="Q302" s="59" t="s">
        <v>113</v>
      </c>
      <c r="R302" s="59" t="s">
        <v>113</v>
      </c>
      <c r="S302" s="60" t="s">
        <v>113</v>
      </c>
      <c r="T302" s="60" t="s">
        <v>113</v>
      </c>
      <c r="U302" s="60" t="s">
        <v>113</v>
      </c>
      <c r="V302" s="154" t="str">
        <f t="shared" ref="V302:V303" si="126">IF(ISERR(Q302*($V$2/30)^2),"",(Q302*($V$2/30)^2))</f>
        <v/>
      </c>
      <c r="W302" s="155" t="str">
        <f t="shared" ref="W302:W303" si="127">IF(ISERR(((V302/453.59)*$V$2/375)*746),"",(((V302/453.59)*$V$2/375)*746))</f>
        <v/>
      </c>
      <c r="X302" s="60" t="s">
        <v>113</v>
      </c>
      <c r="Y302" s="60" t="s">
        <v>113</v>
      </c>
      <c r="Z302" s="18" t="s">
        <v>113</v>
      </c>
      <c r="AA302" s="17" t="s">
        <v>113</v>
      </c>
      <c r="AB302" s="17"/>
      <c r="AC302" s="60" t="str">
        <f t="shared" si="70"/>
        <v/>
      </c>
    </row>
    <row r="303" spans="1:29" ht="13.5" thickBot="1" x14ac:dyDescent="0.25">
      <c r="A303" s="149" t="s">
        <v>114</v>
      </c>
      <c r="B303" s="50" t="s">
        <v>111</v>
      </c>
      <c r="C303" s="27">
        <v>0</v>
      </c>
      <c r="D303" s="36"/>
      <c r="E303" s="32">
        <v>2</v>
      </c>
      <c r="F303" s="60" t="s">
        <v>113</v>
      </c>
      <c r="G303" s="60" t="s">
        <v>113</v>
      </c>
      <c r="H303" s="60" t="s">
        <v>113</v>
      </c>
      <c r="I303" s="60" t="s">
        <v>113</v>
      </c>
      <c r="J303" s="148" t="s">
        <v>113</v>
      </c>
      <c r="K303" s="148" t="s">
        <v>113</v>
      </c>
      <c r="L303" s="148" t="s">
        <v>113</v>
      </c>
      <c r="M303" s="60" t="s">
        <v>113</v>
      </c>
      <c r="N303" s="60" t="s">
        <v>113</v>
      </c>
      <c r="O303" s="60" t="s">
        <v>113</v>
      </c>
      <c r="P303" s="60" t="s">
        <v>113</v>
      </c>
      <c r="Q303" s="59" t="s">
        <v>113</v>
      </c>
      <c r="R303" s="59" t="s">
        <v>113</v>
      </c>
      <c r="S303" s="60" t="s">
        <v>113</v>
      </c>
      <c r="T303" s="60" t="s">
        <v>113</v>
      </c>
      <c r="U303" s="60" t="s">
        <v>113</v>
      </c>
      <c r="V303" s="154" t="str">
        <f t="shared" si="126"/>
        <v/>
      </c>
      <c r="W303" s="155" t="str">
        <f t="shared" si="127"/>
        <v/>
      </c>
      <c r="X303" s="60" t="s">
        <v>113</v>
      </c>
      <c r="Y303" s="60" t="s">
        <v>113</v>
      </c>
      <c r="Z303" s="20" t="s">
        <v>113</v>
      </c>
      <c r="AA303" s="21" t="s">
        <v>113</v>
      </c>
      <c r="AB303" s="21"/>
      <c r="AC303" s="60" t="str">
        <f t="shared" si="70"/>
        <v/>
      </c>
    </row>
    <row r="304" spans="1:29" x14ac:dyDescent="0.2">
      <c r="A304" s="143" t="s">
        <v>114</v>
      </c>
      <c r="B304" s="28" t="s">
        <v>125</v>
      </c>
      <c r="C304" s="144">
        <v>0</v>
      </c>
      <c r="D304" s="145">
        <v>101</v>
      </c>
      <c r="E304" s="146" t="s">
        <v>112</v>
      </c>
      <c r="F304" s="7" t="s">
        <v>113</v>
      </c>
      <c r="G304" s="7" t="s">
        <v>113</v>
      </c>
      <c r="H304" s="7" t="s">
        <v>113</v>
      </c>
      <c r="I304" s="7" t="s">
        <v>113</v>
      </c>
      <c r="J304" s="147" t="s">
        <v>113</v>
      </c>
      <c r="K304" s="147" t="s">
        <v>113</v>
      </c>
      <c r="L304" s="147" t="s">
        <v>113</v>
      </c>
      <c r="M304" s="7" t="s">
        <v>113</v>
      </c>
      <c r="N304" s="7" t="s">
        <v>113</v>
      </c>
      <c r="O304" s="7" t="s">
        <v>113</v>
      </c>
      <c r="P304" s="7" t="s">
        <v>113</v>
      </c>
      <c r="Q304" s="147" t="s">
        <v>113</v>
      </c>
      <c r="R304" s="147" t="s">
        <v>113</v>
      </c>
      <c r="S304" s="7" t="s">
        <v>113</v>
      </c>
      <c r="T304" s="7" t="s">
        <v>113</v>
      </c>
      <c r="U304" s="147" t="s">
        <v>113</v>
      </c>
      <c r="V304" s="147" t="str">
        <f t="shared" ref="V304:W304" si="128">IF(ISERR(AVERAGE(V305:V306)),"",AVERAGE(V305:V306))</f>
        <v/>
      </c>
      <c r="W304" s="147" t="str">
        <f t="shared" si="128"/>
        <v/>
      </c>
      <c r="X304" s="7" t="s">
        <v>113</v>
      </c>
      <c r="Y304" s="7" t="s">
        <v>113</v>
      </c>
      <c r="Z304" s="7" t="s">
        <v>113</v>
      </c>
      <c r="AA304" s="7" t="s">
        <v>113</v>
      </c>
      <c r="AB304" s="12"/>
      <c r="AC304" s="7" t="str">
        <f t="shared" si="70"/>
        <v/>
      </c>
    </row>
    <row r="305" spans="1:29" x14ac:dyDescent="0.2">
      <c r="A305" s="143" t="s">
        <v>114</v>
      </c>
      <c r="B305" s="49" t="s">
        <v>125</v>
      </c>
      <c r="C305" s="26">
        <v>0</v>
      </c>
      <c r="D305" s="35"/>
      <c r="E305" s="31">
        <v>1</v>
      </c>
      <c r="F305" s="60" t="s">
        <v>113</v>
      </c>
      <c r="G305" s="60" t="s">
        <v>113</v>
      </c>
      <c r="H305" s="60" t="s">
        <v>113</v>
      </c>
      <c r="I305" s="60" t="s">
        <v>113</v>
      </c>
      <c r="J305" s="148" t="s">
        <v>113</v>
      </c>
      <c r="K305" s="148" t="s">
        <v>113</v>
      </c>
      <c r="L305" s="148" t="s">
        <v>113</v>
      </c>
      <c r="M305" s="60" t="s">
        <v>113</v>
      </c>
      <c r="N305" s="60" t="s">
        <v>113</v>
      </c>
      <c r="O305" s="60" t="s">
        <v>113</v>
      </c>
      <c r="P305" s="60" t="s">
        <v>113</v>
      </c>
      <c r="Q305" s="59" t="s">
        <v>113</v>
      </c>
      <c r="R305" s="59" t="s">
        <v>113</v>
      </c>
      <c r="S305" s="60" t="s">
        <v>113</v>
      </c>
      <c r="T305" s="60" t="s">
        <v>113</v>
      </c>
      <c r="U305" s="60" t="s">
        <v>113</v>
      </c>
      <c r="V305" s="154" t="str">
        <f t="shared" ref="V305:V306" si="129">IF(ISERR(Q305*($V$2/30)^2),"",(Q305*($V$2/30)^2))</f>
        <v/>
      </c>
      <c r="W305" s="155" t="str">
        <f t="shared" ref="W305:W306" si="130">IF(ISERR(((V305/453.59)*$V$2/375)*746),"",(((V305/453.59)*$V$2/375)*746))</f>
        <v/>
      </c>
      <c r="X305" s="60" t="s">
        <v>113</v>
      </c>
      <c r="Y305" s="60" t="s">
        <v>113</v>
      </c>
      <c r="Z305" s="18" t="s">
        <v>113</v>
      </c>
      <c r="AA305" s="17" t="s">
        <v>113</v>
      </c>
      <c r="AB305" s="17"/>
      <c r="AC305" s="60" t="str">
        <f t="shared" si="70"/>
        <v/>
      </c>
    </row>
    <row r="306" spans="1:29" ht="13.5" thickBot="1" x14ac:dyDescent="0.25">
      <c r="A306" s="149" t="s">
        <v>114</v>
      </c>
      <c r="B306" s="50" t="s">
        <v>125</v>
      </c>
      <c r="C306" s="27">
        <v>0</v>
      </c>
      <c r="D306" s="36"/>
      <c r="E306" s="32">
        <v>2</v>
      </c>
      <c r="F306" s="60" t="s">
        <v>113</v>
      </c>
      <c r="G306" s="60" t="s">
        <v>113</v>
      </c>
      <c r="H306" s="60" t="s">
        <v>113</v>
      </c>
      <c r="I306" s="60" t="s">
        <v>113</v>
      </c>
      <c r="J306" s="148" t="s">
        <v>113</v>
      </c>
      <c r="K306" s="148" t="s">
        <v>113</v>
      </c>
      <c r="L306" s="148" t="s">
        <v>113</v>
      </c>
      <c r="M306" s="60" t="s">
        <v>113</v>
      </c>
      <c r="N306" s="60" t="s">
        <v>113</v>
      </c>
      <c r="O306" s="60" t="s">
        <v>113</v>
      </c>
      <c r="P306" s="60" t="s">
        <v>113</v>
      </c>
      <c r="Q306" s="59" t="s">
        <v>113</v>
      </c>
      <c r="R306" s="59" t="s">
        <v>113</v>
      </c>
      <c r="S306" s="60" t="s">
        <v>113</v>
      </c>
      <c r="T306" s="60" t="s">
        <v>113</v>
      </c>
      <c r="U306" s="60" t="s">
        <v>113</v>
      </c>
      <c r="V306" s="154" t="str">
        <f t="shared" si="129"/>
        <v/>
      </c>
      <c r="W306" s="155" t="str">
        <f t="shared" si="130"/>
        <v/>
      </c>
      <c r="X306" s="60" t="s">
        <v>113</v>
      </c>
      <c r="Y306" s="60" t="s">
        <v>113</v>
      </c>
      <c r="Z306" s="20" t="s">
        <v>113</v>
      </c>
      <c r="AA306" s="21" t="s">
        <v>113</v>
      </c>
      <c r="AB306" s="21"/>
      <c r="AC306" s="60" t="str">
        <f t="shared" si="70"/>
        <v/>
      </c>
    </row>
    <row r="307" spans="1:29" x14ac:dyDescent="0.2">
      <c r="A307" s="143" t="s">
        <v>114</v>
      </c>
      <c r="B307" s="28" t="s">
        <v>111</v>
      </c>
      <c r="C307" s="144">
        <v>0</v>
      </c>
      <c r="D307" s="145">
        <v>102</v>
      </c>
      <c r="E307" s="146" t="s">
        <v>112</v>
      </c>
      <c r="F307" s="7" t="s">
        <v>113</v>
      </c>
      <c r="G307" s="7" t="s">
        <v>113</v>
      </c>
      <c r="H307" s="7" t="s">
        <v>113</v>
      </c>
      <c r="I307" s="7" t="s">
        <v>113</v>
      </c>
      <c r="J307" s="147" t="s">
        <v>113</v>
      </c>
      <c r="K307" s="147" t="s">
        <v>113</v>
      </c>
      <c r="L307" s="147" t="s">
        <v>113</v>
      </c>
      <c r="M307" s="7" t="s">
        <v>113</v>
      </c>
      <c r="N307" s="7" t="s">
        <v>113</v>
      </c>
      <c r="O307" s="7" t="s">
        <v>113</v>
      </c>
      <c r="P307" s="7" t="s">
        <v>113</v>
      </c>
      <c r="Q307" s="147" t="s">
        <v>113</v>
      </c>
      <c r="R307" s="147" t="s">
        <v>113</v>
      </c>
      <c r="S307" s="7" t="s">
        <v>113</v>
      </c>
      <c r="T307" s="7" t="s">
        <v>113</v>
      </c>
      <c r="U307" s="147" t="s">
        <v>113</v>
      </c>
      <c r="V307" s="147" t="str">
        <f t="shared" ref="V307:W307" si="131">IF(ISERR(AVERAGE(V308:V309)),"",AVERAGE(V308:V309))</f>
        <v/>
      </c>
      <c r="W307" s="147" t="str">
        <f t="shared" si="131"/>
        <v/>
      </c>
      <c r="X307" s="7" t="s">
        <v>113</v>
      </c>
      <c r="Y307" s="7" t="s">
        <v>113</v>
      </c>
      <c r="Z307" s="7" t="s">
        <v>113</v>
      </c>
      <c r="AA307" s="7" t="s">
        <v>113</v>
      </c>
      <c r="AB307" s="12"/>
      <c r="AC307" s="7" t="str">
        <f t="shared" si="70"/>
        <v/>
      </c>
    </row>
    <row r="308" spans="1:29" x14ac:dyDescent="0.2">
      <c r="A308" s="143" t="s">
        <v>114</v>
      </c>
      <c r="B308" s="49" t="s">
        <v>111</v>
      </c>
      <c r="C308" s="26">
        <v>0</v>
      </c>
      <c r="D308" s="35"/>
      <c r="E308" s="31">
        <v>1</v>
      </c>
      <c r="F308" s="60" t="s">
        <v>113</v>
      </c>
      <c r="G308" s="60" t="s">
        <v>113</v>
      </c>
      <c r="H308" s="60" t="s">
        <v>113</v>
      </c>
      <c r="I308" s="60" t="s">
        <v>113</v>
      </c>
      <c r="J308" s="148" t="s">
        <v>113</v>
      </c>
      <c r="K308" s="148" t="s">
        <v>113</v>
      </c>
      <c r="L308" s="148" t="s">
        <v>113</v>
      </c>
      <c r="M308" s="60" t="s">
        <v>113</v>
      </c>
      <c r="N308" s="60" t="s">
        <v>113</v>
      </c>
      <c r="O308" s="60" t="s">
        <v>113</v>
      </c>
      <c r="P308" s="60" t="s">
        <v>113</v>
      </c>
      <c r="Q308" s="59" t="s">
        <v>113</v>
      </c>
      <c r="R308" s="59" t="s">
        <v>113</v>
      </c>
      <c r="S308" s="60" t="s">
        <v>113</v>
      </c>
      <c r="T308" s="60" t="s">
        <v>113</v>
      </c>
      <c r="U308" s="60" t="s">
        <v>113</v>
      </c>
      <c r="V308" s="154" t="str">
        <f t="shared" ref="V308:V309" si="132">IF(ISERR(Q308*($V$2/30)^2),"",(Q308*($V$2/30)^2))</f>
        <v/>
      </c>
      <c r="W308" s="155" t="str">
        <f t="shared" ref="W308:W309" si="133">IF(ISERR(((V308/453.59)*$V$2/375)*746),"",(((V308/453.59)*$V$2/375)*746))</f>
        <v/>
      </c>
      <c r="X308" s="60" t="s">
        <v>113</v>
      </c>
      <c r="Y308" s="60" t="s">
        <v>113</v>
      </c>
      <c r="Z308" s="18" t="s">
        <v>113</v>
      </c>
      <c r="AA308" s="17" t="s">
        <v>113</v>
      </c>
      <c r="AB308" s="17"/>
      <c r="AC308" s="60" t="str">
        <f t="shared" si="70"/>
        <v/>
      </c>
    </row>
    <row r="309" spans="1:29" ht="13.5" thickBot="1" x14ac:dyDescent="0.25">
      <c r="A309" s="149" t="s">
        <v>114</v>
      </c>
      <c r="B309" s="50" t="s">
        <v>111</v>
      </c>
      <c r="C309" s="27">
        <v>0</v>
      </c>
      <c r="D309" s="36"/>
      <c r="E309" s="32">
        <v>2</v>
      </c>
      <c r="F309" s="60" t="s">
        <v>113</v>
      </c>
      <c r="G309" s="60" t="s">
        <v>113</v>
      </c>
      <c r="H309" s="60" t="s">
        <v>113</v>
      </c>
      <c r="I309" s="60" t="s">
        <v>113</v>
      </c>
      <c r="J309" s="148" t="s">
        <v>113</v>
      </c>
      <c r="K309" s="148" t="s">
        <v>113</v>
      </c>
      <c r="L309" s="148" t="s">
        <v>113</v>
      </c>
      <c r="M309" s="60" t="s">
        <v>113</v>
      </c>
      <c r="N309" s="60" t="s">
        <v>113</v>
      </c>
      <c r="O309" s="60" t="s">
        <v>113</v>
      </c>
      <c r="P309" s="60" t="s">
        <v>113</v>
      </c>
      <c r="Q309" s="59" t="s">
        <v>113</v>
      </c>
      <c r="R309" s="59" t="s">
        <v>113</v>
      </c>
      <c r="S309" s="60" t="s">
        <v>113</v>
      </c>
      <c r="T309" s="60" t="s">
        <v>113</v>
      </c>
      <c r="U309" s="60" t="s">
        <v>113</v>
      </c>
      <c r="V309" s="154" t="str">
        <f t="shared" si="132"/>
        <v/>
      </c>
      <c r="W309" s="155" t="str">
        <f t="shared" si="133"/>
        <v/>
      </c>
      <c r="X309" s="60" t="s">
        <v>113</v>
      </c>
      <c r="Y309" s="60" t="s">
        <v>113</v>
      </c>
      <c r="Z309" s="20" t="s">
        <v>113</v>
      </c>
      <c r="AA309" s="21" t="s">
        <v>113</v>
      </c>
      <c r="AB309" s="21"/>
      <c r="AC309" s="60" t="str">
        <f t="shared" ref="AC309:AC363" si="134">IF(ISERR(M309*0.314),"",(M309*0.314))</f>
        <v/>
      </c>
    </row>
    <row r="310" spans="1:29" x14ac:dyDescent="0.2">
      <c r="A310" s="143" t="s">
        <v>114</v>
      </c>
      <c r="B310" s="28" t="s">
        <v>125</v>
      </c>
      <c r="C310" s="144">
        <v>0</v>
      </c>
      <c r="D310" s="145">
        <v>103</v>
      </c>
      <c r="E310" s="146" t="s">
        <v>112</v>
      </c>
      <c r="F310" s="7" t="s">
        <v>113</v>
      </c>
      <c r="G310" s="7" t="s">
        <v>113</v>
      </c>
      <c r="H310" s="7" t="s">
        <v>113</v>
      </c>
      <c r="I310" s="7" t="s">
        <v>113</v>
      </c>
      <c r="J310" s="147" t="s">
        <v>113</v>
      </c>
      <c r="K310" s="147" t="s">
        <v>113</v>
      </c>
      <c r="L310" s="147" t="s">
        <v>113</v>
      </c>
      <c r="M310" s="7" t="s">
        <v>113</v>
      </c>
      <c r="N310" s="7" t="s">
        <v>113</v>
      </c>
      <c r="O310" s="7" t="s">
        <v>113</v>
      </c>
      <c r="P310" s="7" t="s">
        <v>113</v>
      </c>
      <c r="Q310" s="147" t="s">
        <v>113</v>
      </c>
      <c r="R310" s="147" t="s">
        <v>113</v>
      </c>
      <c r="S310" s="7" t="s">
        <v>113</v>
      </c>
      <c r="T310" s="7" t="s">
        <v>113</v>
      </c>
      <c r="U310" s="147" t="s">
        <v>113</v>
      </c>
      <c r="V310" s="147" t="str">
        <f t="shared" ref="V310:W310" si="135">IF(ISERR(AVERAGE(V311:V312)),"",AVERAGE(V311:V312))</f>
        <v/>
      </c>
      <c r="W310" s="147" t="str">
        <f t="shared" si="135"/>
        <v/>
      </c>
      <c r="X310" s="7" t="s">
        <v>113</v>
      </c>
      <c r="Y310" s="7" t="s">
        <v>113</v>
      </c>
      <c r="Z310" s="7" t="s">
        <v>113</v>
      </c>
      <c r="AA310" s="7" t="s">
        <v>113</v>
      </c>
      <c r="AB310" s="12"/>
      <c r="AC310" s="7" t="str">
        <f t="shared" si="134"/>
        <v/>
      </c>
    </row>
    <row r="311" spans="1:29" x14ac:dyDescent="0.2">
      <c r="A311" s="143" t="s">
        <v>114</v>
      </c>
      <c r="B311" s="49" t="s">
        <v>125</v>
      </c>
      <c r="C311" s="26">
        <v>0</v>
      </c>
      <c r="D311" s="35"/>
      <c r="E311" s="31">
        <v>1</v>
      </c>
      <c r="F311" s="60" t="s">
        <v>113</v>
      </c>
      <c r="G311" s="60" t="s">
        <v>113</v>
      </c>
      <c r="H311" s="60" t="s">
        <v>113</v>
      </c>
      <c r="I311" s="60" t="s">
        <v>113</v>
      </c>
      <c r="J311" s="148" t="s">
        <v>113</v>
      </c>
      <c r="K311" s="148" t="s">
        <v>113</v>
      </c>
      <c r="L311" s="148" t="s">
        <v>113</v>
      </c>
      <c r="M311" s="60" t="s">
        <v>113</v>
      </c>
      <c r="N311" s="60" t="s">
        <v>113</v>
      </c>
      <c r="O311" s="60" t="s">
        <v>113</v>
      </c>
      <c r="P311" s="60" t="s">
        <v>113</v>
      </c>
      <c r="Q311" s="59" t="s">
        <v>113</v>
      </c>
      <c r="R311" s="59" t="s">
        <v>113</v>
      </c>
      <c r="S311" s="60" t="s">
        <v>113</v>
      </c>
      <c r="T311" s="60" t="s">
        <v>113</v>
      </c>
      <c r="U311" s="60" t="s">
        <v>113</v>
      </c>
      <c r="V311" s="154" t="str">
        <f t="shared" ref="V311:V312" si="136">IF(ISERR(Q311*($V$2/30)^2),"",(Q311*($V$2/30)^2))</f>
        <v/>
      </c>
      <c r="W311" s="155" t="str">
        <f t="shared" ref="W311:W312" si="137">IF(ISERR(((V311/453.59)*$V$2/375)*746),"",(((V311/453.59)*$V$2/375)*746))</f>
        <v/>
      </c>
      <c r="X311" s="60" t="s">
        <v>113</v>
      </c>
      <c r="Y311" s="60" t="s">
        <v>113</v>
      </c>
      <c r="Z311" s="18" t="s">
        <v>113</v>
      </c>
      <c r="AA311" s="17" t="s">
        <v>113</v>
      </c>
      <c r="AB311" s="17"/>
      <c r="AC311" s="60" t="str">
        <f t="shared" si="134"/>
        <v/>
      </c>
    </row>
    <row r="312" spans="1:29" ht="13.5" thickBot="1" x14ac:dyDescent="0.25">
      <c r="A312" s="149" t="s">
        <v>114</v>
      </c>
      <c r="B312" s="50" t="s">
        <v>125</v>
      </c>
      <c r="C312" s="27">
        <v>0</v>
      </c>
      <c r="D312" s="36"/>
      <c r="E312" s="32">
        <v>2</v>
      </c>
      <c r="F312" s="60" t="s">
        <v>113</v>
      </c>
      <c r="G312" s="60" t="s">
        <v>113</v>
      </c>
      <c r="H312" s="60" t="s">
        <v>113</v>
      </c>
      <c r="I312" s="60" t="s">
        <v>113</v>
      </c>
      <c r="J312" s="148" t="s">
        <v>113</v>
      </c>
      <c r="K312" s="148" t="s">
        <v>113</v>
      </c>
      <c r="L312" s="148" t="s">
        <v>113</v>
      </c>
      <c r="M312" s="60" t="s">
        <v>113</v>
      </c>
      <c r="N312" s="60" t="s">
        <v>113</v>
      </c>
      <c r="O312" s="60" t="s">
        <v>113</v>
      </c>
      <c r="P312" s="60" t="s">
        <v>113</v>
      </c>
      <c r="Q312" s="59" t="s">
        <v>113</v>
      </c>
      <c r="R312" s="59" t="s">
        <v>113</v>
      </c>
      <c r="S312" s="60" t="s">
        <v>113</v>
      </c>
      <c r="T312" s="60" t="s">
        <v>113</v>
      </c>
      <c r="U312" s="60" t="s">
        <v>113</v>
      </c>
      <c r="V312" s="154" t="str">
        <f t="shared" si="136"/>
        <v/>
      </c>
      <c r="W312" s="155" t="str">
        <f t="shared" si="137"/>
        <v/>
      </c>
      <c r="X312" s="60" t="s">
        <v>113</v>
      </c>
      <c r="Y312" s="60" t="s">
        <v>113</v>
      </c>
      <c r="Z312" s="20" t="s">
        <v>113</v>
      </c>
      <c r="AA312" s="21" t="s">
        <v>113</v>
      </c>
      <c r="AB312" s="21"/>
      <c r="AC312" s="60" t="str">
        <f t="shared" si="134"/>
        <v/>
      </c>
    </row>
    <row r="313" spans="1:29" x14ac:dyDescent="0.2">
      <c r="A313" s="143" t="s">
        <v>114</v>
      </c>
      <c r="B313" s="28" t="s">
        <v>111</v>
      </c>
      <c r="C313" s="144">
        <v>0</v>
      </c>
      <c r="D313" s="145">
        <v>104</v>
      </c>
      <c r="E313" s="146" t="s">
        <v>112</v>
      </c>
      <c r="F313" s="7" t="s">
        <v>113</v>
      </c>
      <c r="G313" s="7" t="s">
        <v>113</v>
      </c>
      <c r="H313" s="7" t="s">
        <v>113</v>
      </c>
      <c r="I313" s="7" t="s">
        <v>113</v>
      </c>
      <c r="J313" s="147" t="s">
        <v>113</v>
      </c>
      <c r="K313" s="147" t="s">
        <v>113</v>
      </c>
      <c r="L313" s="147" t="s">
        <v>113</v>
      </c>
      <c r="M313" s="7" t="s">
        <v>113</v>
      </c>
      <c r="N313" s="7" t="s">
        <v>113</v>
      </c>
      <c r="O313" s="7" t="s">
        <v>113</v>
      </c>
      <c r="P313" s="7" t="s">
        <v>113</v>
      </c>
      <c r="Q313" s="147" t="s">
        <v>113</v>
      </c>
      <c r="R313" s="147" t="s">
        <v>113</v>
      </c>
      <c r="S313" s="7" t="s">
        <v>113</v>
      </c>
      <c r="T313" s="7" t="s">
        <v>113</v>
      </c>
      <c r="U313" s="147" t="s">
        <v>113</v>
      </c>
      <c r="V313" s="147" t="str">
        <f t="shared" ref="V313:W313" si="138">IF(ISERR(AVERAGE(V314:V315)),"",AVERAGE(V314:V315))</f>
        <v/>
      </c>
      <c r="W313" s="147" t="str">
        <f t="shared" si="138"/>
        <v/>
      </c>
      <c r="X313" s="7" t="s">
        <v>113</v>
      </c>
      <c r="Y313" s="7" t="s">
        <v>113</v>
      </c>
      <c r="Z313" s="7" t="s">
        <v>113</v>
      </c>
      <c r="AA313" s="7" t="s">
        <v>113</v>
      </c>
      <c r="AB313" s="12"/>
      <c r="AC313" s="7" t="str">
        <f t="shared" si="134"/>
        <v/>
      </c>
    </row>
    <row r="314" spans="1:29" x14ac:dyDescent="0.2">
      <c r="A314" s="143" t="s">
        <v>114</v>
      </c>
      <c r="B314" s="49" t="s">
        <v>111</v>
      </c>
      <c r="C314" s="26">
        <v>0</v>
      </c>
      <c r="D314" s="35"/>
      <c r="E314" s="31">
        <v>1</v>
      </c>
      <c r="F314" s="60" t="s">
        <v>113</v>
      </c>
      <c r="G314" s="60" t="s">
        <v>113</v>
      </c>
      <c r="H314" s="60" t="s">
        <v>113</v>
      </c>
      <c r="I314" s="60" t="s">
        <v>113</v>
      </c>
      <c r="J314" s="148" t="s">
        <v>113</v>
      </c>
      <c r="K314" s="148" t="s">
        <v>113</v>
      </c>
      <c r="L314" s="148" t="s">
        <v>113</v>
      </c>
      <c r="M314" s="60" t="s">
        <v>113</v>
      </c>
      <c r="N314" s="60" t="s">
        <v>113</v>
      </c>
      <c r="O314" s="60" t="s">
        <v>113</v>
      </c>
      <c r="P314" s="60" t="s">
        <v>113</v>
      </c>
      <c r="Q314" s="59" t="s">
        <v>113</v>
      </c>
      <c r="R314" s="59" t="s">
        <v>113</v>
      </c>
      <c r="S314" s="60" t="s">
        <v>113</v>
      </c>
      <c r="T314" s="60" t="s">
        <v>113</v>
      </c>
      <c r="U314" s="60" t="s">
        <v>113</v>
      </c>
      <c r="V314" s="154" t="str">
        <f t="shared" ref="V314:V315" si="139">IF(ISERR(Q314*($V$2/30)^2),"",(Q314*($V$2/30)^2))</f>
        <v/>
      </c>
      <c r="W314" s="155" t="str">
        <f t="shared" ref="W314:W315" si="140">IF(ISERR(((V314/453.59)*$V$2/375)*746),"",(((V314/453.59)*$V$2/375)*746))</f>
        <v/>
      </c>
      <c r="X314" s="60" t="s">
        <v>113</v>
      </c>
      <c r="Y314" s="60" t="s">
        <v>113</v>
      </c>
      <c r="Z314" s="18" t="s">
        <v>113</v>
      </c>
      <c r="AA314" s="17" t="s">
        <v>113</v>
      </c>
      <c r="AB314" s="17"/>
      <c r="AC314" s="60" t="str">
        <f t="shared" si="134"/>
        <v/>
      </c>
    </row>
    <row r="315" spans="1:29" ht="13.5" thickBot="1" x14ac:dyDescent="0.25">
      <c r="A315" s="149" t="s">
        <v>114</v>
      </c>
      <c r="B315" s="50" t="s">
        <v>111</v>
      </c>
      <c r="C315" s="27">
        <v>0</v>
      </c>
      <c r="D315" s="36"/>
      <c r="E315" s="32">
        <v>2</v>
      </c>
      <c r="F315" s="60" t="s">
        <v>113</v>
      </c>
      <c r="G315" s="60" t="s">
        <v>113</v>
      </c>
      <c r="H315" s="60" t="s">
        <v>113</v>
      </c>
      <c r="I315" s="60" t="s">
        <v>113</v>
      </c>
      <c r="J315" s="148" t="s">
        <v>113</v>
      </c>
      <c r="K315" s="148" t="s">
        <v>113</v>
      </c>
      <c r="L315" s="148" t="s">
        <v>113</v>
      </c>
      <c r="M315" s="60" t="s">
        <v>113</v>
      </c>
      <c r="N315" s="60" t="s">
        <v>113</v>
      </c>
      <c r="O315" s="60" t="s">
        <v>113</v>
      </c>
      <c r="P315" s="60" t="s">
        <v>113</v>
      </c>
      <c r="Q315" s="59" t="s">
        <v>113</v>
      </c>
      <c r="R315" s="59" t="s">
        <v>113</v>
      </c>
      <c r="S315" s="60" t="s">
        <v>113</v>
      </c>
      <c r="T315" s="60" t="s">
        <v>113</v>
      </c>
      <c r="U315" s="60" t="s">
        <v>113</v>
      </c>
      <c r="V315" s="154" t="str">
        <f t="shared" si="139"/>
        <v/>
      </c>
      <c r="W315" s="155" t="str">
        <f t="shared" si="140"/>
        <v/>
      </c>
      <c r="X315" s="60" t="s">
        <v>113</v>
      </c>
      <c r="Y315" s="60" t="s">
        <v>113</v>
      </c>
      <c r="Z315" s="20" t="s">
        <v>113</v>
      </c>
      <c r="AA315" s="21" t="s">
        <v>113</v>
      </c>
      <c r="AB315" s="21"/>
      <c r="AC315" s="60" t="str">
        <f t="shared" si="134"/>
        <v/>
      </c>
    </row>
    <row r="316" spans="1:29" x14ac:dyDescent="0.2">
      <c r="A316" s="143" t="s">
        <v>114</v>
      </c>
      <c r="B316" s="28" t="s">
        <v>125</v>
      </c>
      <c r="C316" s="144">
        <v>0</v>
      </c>
      <c r="D316" s="145">
        <v>105</v>
      </c>
      <c r="E316" s="146" t="s">
        <v>112</v>
      </c>
      <c r="F316" s="7" t="s">
        <v>113</v>
      </c>
      <c r="G316" s="7" t="s">
        <v>113</v>
      </c>
      <c r="H316" s="7" t="s">
        <v>113</v>
      </c>
      <c r="I316" s="7" t="s">
        <v>113</v>
      </c>
      <c r="J316" s="147" t="s">
        <v>113</v>
      </c>
      <c r="K316" s="147" t="s">
        <v>113</v>
      </c>
      <c r="L316" s="147" t="s">
        <v>113</v>
      </c>
      <c r="M316" s="7" t="s">
        <v>113</v>
      </c>
      <c r="N316" s="7" t="s">
        <v>113</v>
      </c>
      <c r="O316" s="7" t="s">
        <v>113</v>
      </c>
      <c r="P316" s="7" t="s">
        <v>113</v>
      </c>
      <c r="Q316" s="147" t="s">
        <v>113</v>
      </c>
      <c r="R316" s="147" t="s">
        <v>113</v>
      </c>
      <c r="S316" s="7" t="s">
        <v>113</v>
      </c>
      <c r="T316" s="7" t="s">
        <v>113</v>
      </c>
      <c r="U316" s="147" t="s">
        <v>113</v>
      </c>
      <c r="V316" s="147" t="str">
        <f t="shared" ref="V316:W316" si="141">IF(ISERR(AVERAGE(V317:V318)),"",AVERAGE(V317:V318))</f>
        <v/>
      </c>
      <c r="W316" s="147" t="str">
        <f t="shared" si="141"/>
        <v/>
      </c>
      <c r="X316" s="7" t="s">
        <v>113</v>
      </c>
      <c r="Y316" s="7" t="s">
        <v>113</v>
      </c>
      <c r="Z316" s="7" t="s">
        <v>113</v>
      </c>
      <c r="AA316" s="7" t="s">
        <v>113</v>
      </c>
      <c r="AB316" s="12"/>
      <c r="AC316" s="7" t="str">
        <f t="shared" si="134"/>
        <v/>
      </c>
    </row>
    <row r="317" spans="1:29" x14ac:dyDescent="0.2">
      <c r="A317" s="143" t="s">
        <v>114</v>
      </c>
      <c r="B317" s="49" t="s">
        <v>125</v>
      </c>
      <c r="C317" s="26">
        <v>0</v>
      </c>
      <c r="D317" s="35"/>
      <c r="E317" s="31">
        <v>1</v>
      </c>
      <c r="F317" s="60" t="s">
        <v>113</v>
      </c>
      <c r="G317" s="60" t="s">
        <v>113</v>
      </c>
      <c r="H317" s="60" t="s">
        <v>113</v>
      </c>
      <c r="I317" s="60" t="s">
        <v>113</v>
      </c>
      <c r="J317" s="148" t="s">
        <v>113</v>
      </c>
      <c r="K317" s="148" t="s">
        <v>113</v>
      </c>
      <c r="L317" s="148" t="s">
        <v>113</v>
      </c>
      <c r="M317" s="60" t="s">
        <v>113</v>
      </c>
      <c r="N317" s="60" t="s">
        <v>113</v>
      </c>
      <c r="O317" s="60" t="s">
        <v>113</v>
      </c>
      <c r="P317" s="60" t="s">
        <v>113</v>
      </c>
      <c r="Q317" s="59" t="s">
        <v>113</v>
      </c>
      <c r="R317" s="59" t="s">
        <v>113</v>
      </c>
      <c r="S317" s="60" t="s">
        <v>113</v>
      </c>
      <c r="T317" s="60" t="s">
        <v>113</v>
      </c>
      <c r="U317" s="60" t="s">
        <v>113</v>
      </c>
      <c r="V317" s="154" t="str">
        <f t="shared" ref="V317:V318" si="142">IF(ISERR(Q317*($V$2/30)^2),"",(Q317*($V$2/30)^2))</f>
        <v/>
      </c>
      <c r="W317" s="155" t="str">
        <f t="shared" ref="W317:W318" si="143">IF(ISERR(((V317/453.59)*$V$2/375)*746),"",(((V317/453.59)*$V$2/375)*746))</f>
        <v/>
      </c>
      <c r="X317" s="60" t="s">
        <v>113</v>
      </c>
      <c r="Y317" s="60" t="s">
        <v>113</v>
      </c>
      <c r="Z317" s="18" t="s">
        <v>113</v>
      </c>
      <c r="AA317" s="17" t="s">
        <v>113</v>
      </c>
      <c r="AB317" s="17"/>
      <c r="AC317" s="60" t="str">
        <f t="shared" si="134"/>
        <v/>
      </c>
    </row>
    <row r="318" spans="1:29" ht="13.5" thickBot="1" x14ac:dyDescent="0.25">
      <c r="A318" s="149" t="s">
        <v>114</v>
      </c>
      <c r="B318" s="50" t="s">
        <v>125</v>
      </c>
      <c r="C318" s="27">
        <v>0</v>
      </c>
      <c r="D318" s="36"/>
      <c r="E318" s="32">
        <v>2</v>
      </c>
      <c r="F318" s="60" t="s">
        <v>113</v>
      </c>
      <c r="G318" s="60" t="s">
        <v>113</v>
      </c>
      <c r="H318" s="60" t="s">
        <v>113</v>
      </c>
      <c r="I318" s="60" t="s">
        <v>113</v>
      </c>
      <c r="J318" s="148" t="s">
        <v>113</v>
      </c>
      <c r="K318" s="148" t="s">
        <v>113</v>
      </c>
      <c r="L318" s="148" t="s">
        <v>113</v>
      </c>
      <c r="M318" s="60" t="s">
        <v>113</v>
      </c>
      <c r="N318" s="60" t="s">
        <v>113</v>
      </c>
      <c r="O318" s="60" t="s">
        <v>113</v>
      </c>
      <c r="P318" s="60" t="s">
        <v>113</v>
      </c>
      <c r="Q318" s="59" t="s">
        <v>113</v>
      </c>
      <c r="R318" s="59" t="s">
        <v>113</v>
      </c>
      <c r="S318" s="60" t="s">
        <v>113</v>
      </c>
      <c r="T318" s="60" t="s">
        <v>113</v>
      </c>
      <c r="U318" s="60" t="s">
        <v>113</v>
      </c>
      <c r="V318" s="154" t="str">
        <f t="shared" si="142"/>
        <v/>
      </c>
      <c r="W318" s="155" t="str">
        <f t="shared" si="143"/>
        <v/>
      </c>
      <c r="X318" s="60" t="s">
        <v>113</v>
      </c>
      <c r="Y318" s="60" t="s">
        <v>113</v>
      </c>
      <c r="Z318" s="20" t="s">
        <v>113</v>
      </c>
      <c r="AA318" s="21" t="s">
        <v>113</v>
      </c>
      <c r="AB318" s="21"/>
      <c r="AC318" s="60" t="str">
        <f t="shared" si="134"/>
        <v/>
      </c>
    </row>
    <row r="319" spans="1:29" x14ac:dyDescent="0.2">
      <c r="A319" s="143" t="s">
        <v>114</v>
      </c>
      <c r="B319" s="28" t="s">
        <v>111</v>
      </c>
      <c r="C319" s="144">
        <v>0</v>
      </c>
      <c r="D319" s="145">
        <v>106</v>
      </c>
      <c r="E319" s="146" t="s">
        <v>112</v>
      </c>
      <c r="F319" s="7" t="s">
        <v>113</v>
      </c>
      <c r="G319" s="7" t="s">
        <v>113</v>
      </c>
      <c r="H319" s="7" t="s">
        <v>113</v>
      </c>
      <c r="I319" s="7" t="s">
        <v>113</v>
      </c>
      <c r="J319" s="147" t="s">
        <v>113</v>
      </c>
      <c r="K319" s="147" t="s">
        <v>113</v>
      </c>
      <c r="L319" s="147" t="s">
        <v>113</v>
      </c>
      <c r="M319" s="7" t="s">
        <v>113</v>
      </c>
      <c r="N319" s="7" t="s">
        <v>113</v>
      </c>
      <c r="O319" s="7" t="s">
        <v>113</v>
      </c>
      <c r="P319" s="7" t="s">
        <v>113</v>
      </c>
      <c r="Q319" s="147" t="s">
        <v>113</v>
      </c>
      <c r="R319" s="147" t="s">
        <v>113</v>
      </c>
      <c r="S319" s="7" t="s">
        <v>113</v>
      </c>
      <c r="T319" s="7" t="s">
        <v>113</v>
      </c>
      <c r="U319" s="147" t="s">
        <v>113</v>
      </c>
      <c r="V319" s="147" t="str">
        <f t="shared" ref="V319:W319" si="144">IF(ISERR(AVERAGE(V320:V321)),"",AVERAGE(V320:V321))</f>
        <v/>
      </c>
      <c r="W319" s="147" t="str">
        <f t="shared" si="144"/>
        <v/>
      </c>
      <c r="X319" s="7" t="s">
        <v>113</v>
      </c>
      <c r="Y319" s="7" t="s">
        <v>113</v>
      </c>
      <c r="Z319" s="7" t="s">
        <v>113</v>
      </c>
      <c r="AA319" s="7" t="s">
        <v>113</v>
      </c>
      <c r="AB319" s="12"/>
      <c r="AC319" s="7" t="str">
        <f t="shared" si="134"/>
        <v/>
      </c>
    </row>
    <row r="320" spans="1:29" x14ac:dyDescent="0.2">
      <c r="A320" s="143" t="s">
        <v>114</v>
      </c>
      <c r="B320" s="49" t="s">
        <v>111</v>
      </c>
      <c r="C320" s="26">
        <v>0</v>
      </c>
      <c r="D320" s="35"/>
      <c r="E320" s="31">
        <v>1</v>
      </c>
      <c r="F320" s="60" t="s">
        <v>113</v>
      </c>
      <c r="G320" s="60" t="s">
        <v>113</v>
      </c>
      <c r="H320" s="60" t="s">
        <v>113</v>
      </c>
      <c r="I320" s="60" t="s">
        <v>113</v>
      </c>
      <c r="J320" s="148" t="s">
        <v>113</v>
      </c>
      <c r="K320" s="148" t="s">
        <v>113</v>
      </c>
      <c r="L320" s="148" t="s">
        <v>113</v>
      </c>
      <c r="M320" s="60" t="s">
        <v>113</v>
      </c>
      <c r="N320" s="60" t="s">
        <v>113</v>
      </c>
      <c r="O320" s="60" t="s">
        <v>113</v>
      </c>
      <c r="P320" s="60" t="s">
        <v>113</v>
      </c>
      <c r="Q320" s="59" t="s">
        <v>113</v>
      </c>
      <c r="R320" s="59" t="s">
        <v>113</v>
      </c>
      <c r="S320" s="60" t="s">
        <v>113</v>
      </c>
      <c r="T320" s="60" t="s">
        <v>113</v>
      </c>
      <c r="U320" s="60" t="s">
        <v>113</v>
      </c>
      <c r="V320" s="154" t="str">
        <f t="shared" ref="V320:V321" si="145">IF(ISERR(Q320*($V$2/30)^2),"",(Q320*($V$2/30)^2))</f>
        <v/>
      </c>
      <c r="W320" s="155" t="str">
        <f t="shared" ref="W320:W321" si="146">IF(ISERR(((V320/453.59)*$V$2/375)*746),"",(((V320/453.59)*$V$2/375)*746))</f>
        <v/>
      </c>
      <c r="X320" s="60" t="s">
        <v>113</v>
      </c>
      <c r="Y320" s="60" t="s">
        <v>113</v>
      </c>
      <c r="Z320" s="18" t="s">
        <v>113</v>
      </c>
      <c r="AA320" s="17" t="s">
        <v>113</v>
      </c>
      <c r="AB320" s="17"/>
      <c r="AC320" s="60" t="str">
        <f t="shared" si="134"/>
        <v/>
      </c>
    </row>
    <row r="321" spans="1:29" ht="13.5" thickBot="1" x14ac:dyDescent="0.25">
      <c r="A321" s="149" t="s">
        <v>114</v>
      </c>
      <c r="B321" s="50" t="s">
        <v>111</v>
      </c>
      <c r="C321" s="27">
        <v>0</v>
      </c>
      <c r="D321" s="36"/>
      <c r="E321" s="32">
        <v>2</v>
      </c>
      <c r="F321" s="60" t="s">
        <v>113</v>
      </c>
      <c r="G321" s="60" t="s">
        <v>113</v>
      </c>
      <c r="H321" s="60" t="s">
        <v>113</v>
      </c>
      <c r="I321" s="60" t="s">
        <v>113</v>
      </c>
      <c r="J321" s="148" t="s">
        <v>113</v>
      </c>
      <c r="K321" s="148" t="s">
        <v>113</v>
      </c>
      <c r="L321" s="148" t="s">
        <v>113</v>
      </c>
      <c r="M321" s="60" t="s">
        <v>113</v>
      </c>
      <c r="N321" s="60" t="s">
        <v>113</v>
      </c>
      <c r="O321" s="60" t="s">
        <v>113</v>
      </c>
      <c r="P321" s="60" t="s">
        <v>113</v>
      </c>
      <c r="Q321" s="59" t="s">
        <v>113</v>
      </c>
      <c r="R321" s="59" t="s">
        <v>113</v>
      </c>
      <c r="S321" s="60" t="s">
        <v>113</v>
      </c>
      <c r="T321" s="60" t="s">
        <v>113</v>
      </c>
      <c r="U321" s="60" t="s">
        <v>113</v>
      </c>
      <c r="V321" s="154" t="str">
        <f t="shared" si="145"/>
        <v/>
      </c>
      <c r="W321" s="155" t="str">
        <f t="shared" si="146"/>
        <v/>
      </c>
      <c r="X321" s="60" t="s">
        <v>113</v>
      </c>
      <c r="Y321" s="60" t="s">
        <v>113</v>
      </c>
      <c r="Z321" s="20" t="s">
        <v>113</v>
      </c>
      <c r="AA321" s="21" t="s">
        <v>113</v>
      </c>
      <c r="AB321" s="21"/>
      <c r="AC321" s="60" t="str">
        <f t="shared" si="134"/>
        <v/>
      </c>
    </row>
    <row r="322" spans="1:29" x14ac:dyDescent="0.2">
      <c r="A322" s="143" t="s">
        <v>114</v>
      </c>
      <c r="B322" s="28" t="s">
        <v>125</v>
      </c>
      <c r="C322" s="144">
        <v>0</v>
      </c>
      <c r="D322" s="145">
        <v>107</v>
      </c>
      <c r="E322" s="146" t="s">
        <v>112</v>
      </c>
      <c r="F322" s="7" t="s">
        <v>113</v>
      </c>
      <c r="G322" s="7" t="s">
        <v>113</v>
      </c>
      <c r="H322" s="7" t="s">
        <v>113</v>
      </c>
      <c r="I322" s="7" t="s">
        <v>113</v>
      </c>
      <c r="J322" s="147" t="s">
        <v>113</v>
      </c>
      <c r="K322" s="147" t="s">
        <v>113</v>
      </c>
      <c r="L322" s="147" t="s">
        <v>113</v>
      </c>
      <c r="M322" s="7" t="s">
        <v>113</v>
      </c>
      <c r="N322" s="7" t="s">
        <v>113</v>
      </c>
      <c r="O322" s="7" t="s">
        <v>113</v>
      </c>
      <c r="P322" s="7" t="s">
        <v>113</v>
      </c>
      <c r="Q322" s="147" t="s">
        <v>113</v>
      </c>
      <c r="R322" s="147" t="s">
        <v>113</v>
      </c>
      <c r="S322" s="7" t="s">
        <v>113</v>
      </c>
      <c r="T322" s="7" t="s">
        <v>113</v>
      </c>
      <c r="U322" s="147" t="s">
        <v>113</v>
      </c>
      <c r="V322" s="147" t="str">
        <f t="shared" ref="V322:W322" si="147">IF(ISERR(AVERAGE(V323:V324)),"",AVERAGE(V323:V324))</f>
        <v/>
      </c>
      <c r="W322" s="147" t="str">
        <f t="shared" si="147"/>
        <v/>
      </c>
      <c r="X322" s="7" t="s">
        <v>113</v>
      </c>
      <c r="Y322" s="7" t="s">
        <v>113</v>
      </c>
      <c r="Z322" s="7" t="s">
        <v>113</v>
      </c>
      <c r="AA322" s="7" t="s">
        <v>113</v>
      </c>
      <c r="AB322" s="12"/>
      <c r="AC322" s="7" t="str">
        <f t="shared" si="134"/>
        <v/>
      </c>
    </row>
    <row r="323" spans="1:29" x14ac:dyDescent="0.2">
      <c r="A323" s="143" t="s">
        <v>114</v>
      </c>
      <c r="B323" s="49" t="s">
        <v>125</v>
      </c>
      <c r="C323" s="26">
        <v>0</v>
      </c>
      <c r="D323" s="35"/>
      <c r="E323" s="31">
        <v>1</v>
      </c>
      <c r="F323" s="60" t="s">
        <v>113</v>
      </c>
      <c r="G323" s="60" t="s">
        <v>113</v>
      </c>
      <c r="H323" s="60" t="s">
        <v>113</v>
      </c>
      <c r="I323" s="60" t="s">
        <v>113</v>
      </c>
      <c r="J323" s="148" t="s">
        <v>113</v>
      </c>
      <c r="K323" s="148" t="s">
        <v>113</v>
      </c>
      <c r="L323" s="148" t="s">
        <v>113</v>
      </c>
      <c r="M323" s="60" t="s">
        <v>113</v>
      </c>
      <c r="N323" s="60" t="s">
        <v>113</v>
      </c>
      <c r="O323" s="60" t="s">
        <v>113</v>
      </c>
      <c r="P323" s="60" t="s">
        <v>113</v>
      </c>
      <c r="Q323" s="59" t="s">
        <v>113</v>
      </c>
      <c r="R323" s="59" t="s">
        <v>113</v>
      </c>
      <c r="S323" s="60" t="s">
        <v>113</v>
      </c>
      <c r="T323" s="60" t="s">
        <v>113</v>
      </c>
      <c r="U323" s="60" t="s">
        <v>113</v>
      </c>
      <c r="V323" s="154" t="str">
        <f t="shared" ref="V323:V324" si="148">IF(ISERR(Q323*($V$2/30)^2),"",(Q323*($V$2/30)^2))</f>
        <v/>
      </c>
      <c r="W323" s="155" t="str">
        <f t="shared" ref="W323:W324" si="149">IF(ISERR(((V323/453.59)*$V$2/375)*746),"",(((V323/453.59)*$V$2/375)*746))</f>
        <v/>
      </c>
      <c r="X323" s="60" t="s">
        <v>113</v>
      </c>
      <c r="Y323" s="60" t="s">
        <v>113</v>
      </c>
      <c r="Z323" s="18" t="s">
        <v>113</v>
      </c>
      <c r="AA323" s="17" t="s">
        <v>113</v>
      </c>
      <c r="AB323" s="17"/>
      <c r="AC323" s="60" t="str">
        <f t="shared" si="134"/>
        <v/>
      </c>
    </row>
    <row r="324" spans="1:29" ht="13.5" thickBot="1" x14ac:dyDescent="0.25">
      <c r="A324" s="149" t="s">
        <v>114</v>
      </c>
      <c r="B324" s="50" t="s">
        <v>125</v>
      </c>
      <c r="C324" s="27">
        <v>0</v>
      </c>
      <c r="D324" s="36"/>
      <c r="E324" s="32">
        <v>2</v>
      </c>
      <c r="F324" s="60" t="s">
        <v>113</v>
      </c>
      <c r="G324" s="60" t="s">
        <v>113</v>
      </c>
      <c r="H324" s="60" t="s">
        <v>113</v>
      </c>
      <c r="I324" s="60" t="s">
        <v>113</v>
      </c>
      <c r="J324" s="148" t="s">
        <v>113</v>
      </c>
      <c r="K324" s="148" t="s">
        <v>113</v>
      </c>
      <c r="L324" s="148" t="s">
        <v>113</v>
      </c>
      <c r="M324" s="60" t="s">
        <v>113</v>
      </c>
      <c r="N324" s="60" t="s">
        <v>113</v>
      </c>
      <c r="O324" s="60" t="s">
        <v>113</v>
      </c>
      <c r="P324" s="60" t="s">
        <v>113</v>
      </c>
      <c r="Q324" s="59" t="s">
        <v>113</v>
      </c>
      <c r="R324" s="59" t="s">
        <v>113</v>
      </c>
      <c r="S324" s="60" t="s">
        <v>113</v>
      </c>
      <c r="T324" s="60" t="s">
        <v>113</v>
      </c>
      <c r="U324" s="60" t="s">
        <v>113</v>
      </c>
      <c r="V324" s="154" t="str">
        <f t="shared" si="148"/>
        <v/>
      </c>
      <c r="W324" s="155" t="str">
        <f t="shared" si="149"/>
        <v/>
      </c>
      <c r="X324" s="60" t="s">
        <v>113</v>
      </c>
      <c r="Y324" s="60" t="s">
        <v>113</v>
      </c>
      <c r="Z324" s="20" t="s">
        <v>113</v>
      </c>
      <c r="AA324" s="21" t="s">
        <v>113</v>
      </c>
      <c r="AB324" s="21"/>
      <c r="AC324" s="60" t="str">
        <f t="shared" si="134"/>
        <v/>
      </c>
    </row>
    <row r="325" spans="1:29" x14ac:dyDescent="0.2">
      <c r="A325" s="143" t="s">
        <v>114</v>
      </c>
      <c r="B325" s="28" t="s">
        <v>111</v>
      </c>
      <c r="C325" s="144">
        <v>0</v>
      </c>
      <c r="D325" s="145">
        <v>108</v>
      </c>
      <c r="E325" s="146" t="s">
        <v>112</v>
      </c>
      <c r="F325" s="7" t="s">
        <v>113</v>
      </c>
      <c r="G325" s="7" t="s">
        <v>113</v>
      </c>
      <c r="H325" s="7" t="s">
        <v>113</v>
      </c>
      <c r="I325" s="7" t="s">
        <v>113</v>
      </c>
      <c r="J325" s="147" t="s">
        <v>113</v>
      </c>
      <c r="K325" s="147" t="s">
        <v>113</v>
      </c>
      <c r="L325" s="147" t="s">
        <v>113</v>
      </c>
      <c r="M325" s="7" t="s">
        <v>113</v>
      </c>
      <c r="N325" s="7" t="s">
        <v>113</v>
      </c>
      <c r="O325" s="7" t="s">
        <v>113</v>
      </c>
      <c r="P325" s="7" t="s">
        <v>113</v>
      </c>
      <c r="Q325" s="147" t="s">
        <v>113</v>
      </c>
      <c r="R325" s="147" t="s">
        <v>113</v>
      </c>
      <c r="S325" s="7" t="s">
        <v>113</v>
      </c>
      <c r="T325" s="7" t="s">
        <v>113</v>
      </c>
      <c r="U325" s="147" t="s">
        <v>113</v>
      </c>
      <c r="V325" s="147" t="str">
        <f t="shared" ref="V325:W325" si="150">IF(ISERR(AVERAGE(V326:V327)),"",AVERAGE(V326:V327))</f>
        <v/>
      </c>
      <c r="W325" s="147" t="str">
        <f t="shared" si="150"/>
        <v/>
      </c>
      <c r="X325" s="7" t="s">
        <v>113</v>
      </c>
      <c r="Y325" s="7" t="s">
        <v>113</v>
      </c>
      <c r="Z325" s="7" t="s">
        <v>113</v>
      </c>
      <c r="AA325" s="7" t="s">
        <v>113</v>
      </c>
      <c r="AB325" s="12"/>
      <c r="AC325" s="7" t="str">
        <f t="shared" si="134"/>
        <v/>
      </c>
    </row>
    <row r="326" spans="1:29" x14ac:dyDescent="0.2">
      <c r="A326" s="143" t="s">
        <v>114</v>
      </c>
      <c r="B326" s="49" t="s">
        <v>111</v>
      </c>
      <c r="C326" s="26">
        <v>0</v>
      </c>
      <c r="D326" s="35"/>
      <c r="E326" s="31">
        <v>1</v>
      </c>
      <c r="F326" s="60" t="s">
        <v>113</v>
      </c>
      <c r="G326" s="60" t="s">
        <v>113</v>
      </c>
      <c r="H326" s="60" t="s">
        <v>113</v>
      </c>
      <c r="I326" s="60" t="s">
        <v>113</v>
      </c>
      <c r="J326" s="148" t="s">
        <v>113</v>
      </c>
      <c r="K326" s="148" t="s">
        <v>113</v>
      </c>
      <c r="L326" s="148" t="s">
        <v>113</v>
      </c>
      <c r="M326" s="60" t="s">
        <v>113</v>
      </c>
      <c r="N326" s="60" t="s">
        <v>113</v>
      </c>
      <c r="O326" s="60" t="s">
        <v>113</v>
      </c>
      <c r="P326" s="60" t="s">
        <v>113</v>
      </c>
      <c r="Q326" s="59" t="s">
        <v>113</v>
      </c>
      <c r="R326" s="59" t="s">
        <v>113</v>
      </c>
      <c r="S326" s="60" t="s">
        <v>113</v>
      </c>
      <c r="T326" s="60" t="s">
        <v>113</v>
      </c>
      <c r="U326" s="60" t="s">
        <v>113</v>
      </c>
      <c r="V326" s="154" t="str">
        <f t="shared" ref="V326:V327" si="151">IF(ISERR(Q326*($V$2/30)^2),"",(Q326*($V$2/30)^2))</f>
        <v/>
      </c>
      <c r="W326" s="155" t="str">
        <f t="shared" ref="W326:W327" si="152">IF(ISERR(((V326/453.59)*$V$2/375)*746),"",(((V326/453.59)*$V$2/375)*746))</f>
        <v/>
      </c>
      <c r="X326" s="60" t="s">
        <v>113</v>
      </c>
      <c r="Y326" s="60" t="s">
        <v>113</v>
      </c>
      <c r="Z326" s="18" t="s">
        <v>113</v>
      </c>
      <c r="AA326" s="17" t="s">
        <v>113</v>
      </c>
      <c r="AB326" s="17"/>
      <c r="AC326" s="60" t="str">
        <f t="shared" si="134"/>
        <v/>
      </c>
    </row>
    <row r="327" spans="1:29" ht="13.5" thickBot="1" x14ac:dyDescent="0.25">
      <c r="A327" s="149" t="s">
        <v>114</v>
      </c>
      <c r="B327" s="50" t="s">
        <v>111</v>
      </c>
      <c r="C327" s="27">
        <v>0</v>
      </c>
      <c r="D327" s="36"/>
      <c r="E327" s="32">
        <v>2</v>
      </c>
      <c r="F327" s="60" t="s">
        <v>113</v>
      </c>
      <c r="G327" s="60" t="s">
        <v>113</v>
      </c>
      <c r="H327" s="60" t="s">
        <v>113</v>
      </c>
      <c r="I327" s="60" t="s">
        <v>113</v>
      </c>
      <c r="J327" s="148" t="s">
        <v>113</v>
      </c>
      <c r="K327" s="148" t="s">
        <v>113</v>
      </c>
      <c r="L327" s="148" t="s">
        <v>113</v>
      </c>
      <c r="M327" s="60" t="s">
        <v>113</v>
      </c>
      <c r="N327" s="60" t="s">
        <v>113</v>
      </c>
      <c r="O327" s="60" t="s">
        <v>113</v>
      </c>
      <c r="P327" s="60" t="s">
        <v>113</v>
      </c>
      <c r="Q327" s="59" t="s">
        <v>113</v>
      </c>
      <c r="R327" s="59" t="s">
        <v>113</v>
      </c>
      <c r="S327" s="60" t="s">
        <v>113</v>
      </c>
      <c r="T327" s="60" t="s">
        <v>113</v>
      </c>
      <c r="U327" s="60" t="s">
        <v>113</v>
      </c>
      <c r="V327" s="154" t="str">
        <f t="shared" si="151"/>
        <v/>
      </c>
      <c r="W327" s="155" t="str">
        <f t="shared" si="152"/>
        <v/>
      </c>
      <c r="X327" s="60" t="s">
        <v>113</v>
      </c>
      <c r="Y327" s="60" t="s">
        <v>113</v>
      </c>
      <c r="Z327" s="20" t="s">
        <v>113</v>
      </c>
      <c r="AA327" s="21" t="s">
        <v>113</v>
      </c>
      <c r="AB327" s="21"/>
      <c r="AC327" s="60" t="str">
        <f t="shared" si="134"/>
        <v/>
      </c>
    </row>
    <row r="328" spans="1:29" x14ac:dyDescent="0.2">
      <c r="A328" s="143" t="s">
        <v>114</v>
      </c>
      <c r="B328" s="28" t="s">
        <v>125</v>
      </c>
      <c r="C328" s="144">
        <v>0</v>
      </c>
      <c r="D328" s="145">
        <v>109</v>
      </c>
      <c r="E328" s="146" t="s">
        <v>112</v>
      </c>
      <c r="F328" s="7" t="s">
        <v>113</v>
      </c>
      <c r="G328" s="7" t="s">
        <v>113</v>
      </c>
      <c r="H328" s="7" t="s">
        <v>113</v>
      </c>
      <c r="I328" s="7" t="s">
        <v>113</v>
      </c>
      <c r="J328" s="147" t="s">
        <v>113</v>
      </c>
      <c r="K328" s="147" t="s">
        <v>113</v>
      </c>
      <c r="L328" s="147" t="s">
        <v>113</v>
      </c>
      <c r="M328" s="7" t="s">
        <v>113</v>
      </c>
      <c r="N328" s="7" t="s">
        <v>113</v>
      </c>
      <c r="O328" s="7" t="s">
        <v>113</v>
      </c>
      <c r="P328" s="7" t="s">
        <v>113</v>
      </c>
      <c r="Q328" s="147" t="s">
        <v>113</v>
      </c>
      <c r="R328" s="147" t="s">
        <v>113</v>
      </c>
      <c r="S328" s="7" t="s">
        <v>113</v>
      </c>
      <c r="T328" s="7" t="s">
        <v>113</v>
      </c>
      <c r="U328" s="147" t="s">
        <v>113</v>
      </c>
      <c r="V328" s="147" t="str">
        <f t="shared" ref="V328:W328" si="153">IF(ISERR(AVERAGE(V329:V330)),"",AVERAGE(V329:V330))</f>
        <v/>
      </c>
      <c r="W328" s="147" t="str">
        <f t="shared" si="153"/>
        <v/>
      </c>
      <c r="X328" s="7" t="s">
        <v>113</v>
      </c>
      <c r="Y328" s="7" t="s">
        <v>113</v>
      </c>
      <c r="Z328" s="7" t="s">
        <v>113</v>
      </c>
      <c r="AA328" s="7" t="s">
        <v>113</v>
      </c>
      <c r="AB328" s="12"/>
      <c r="AC328" s="7" t="str">
        <f t="shared" si="134"/>
        <v/>
      </c>
    </row>
    <row r="329" spans="1:29" x14ac:dyDescent="0.2">
      <c r="A329" s="143" t="s">
        <v>114</v>
      </c>
      <c r="B329" s="49" t="s">
        <v>125</v>
      </c>
      <c r="C329" s="26">
        <v>0</v>
      </c>
      <c r="D329" s="35"/>
      <c r="E329" s="31">
        <v>1</v>
      </c>
      <c r="F329" s="60" t="s">
        <v>113</v>
      </c>
      <c r="G329" s="60" t="s">
        <v>113</v>
      </c>
      <c r="H329" s="60" t="s">
        <v>113</v>
      </c>
      <c r="I329" s="60" t="s">
        <v>113</v>
      </c>
      <c r="J329" s="148" t="s">
        <v>113</v>
      </c>
      <c r="K329" s="148" t="s">
        <v>113</v>
      </c>
      <c r="L329" s="148" t="s">
        <v>113</v>
      </c>
      <c r="M329" s="60" t="s">
        <v>113</v>
      </c>
      <c r="N329" s="60" t="s">
        <v>113</v>
      </c>
      <c r="O329" s="60" t="s">
        <v>113</v>
      </c>
      <c r="P329" s="60" t="s">
        <v>113</v>
      </c>
      <c r="Q329" s="59" t="s">
        <v>113</v>
      </c>
      <c r="R329" s="59" t="s">
        <v>113</v>
      </c>
      <c r="S329" s="60" t="s">
        <v>113</v>
      </c>
      <c r="T329" s="60" t="s">
        <v>113</v>
      </c>
      <c r="U329" s="60" t="s">
        <v>113</v>
      </c>
      <c r="V329" s="154" t="str">
        <f t="shared" ref="V329:V330" si="154">IF(ISERR(Q329*($V$2/30)^2),"",(Q329*($V$2/30)^2))</f>
        <v/>
      </c>
      <c r="W329" s="155" t="str">
        <f t="shared" ref="W329:W330" si="155">IF(ISERR(((V329/453.59)*$V$2/375)*746),"",(((V329/453.59)*$V$2/375)*746))</f>
        <v/>
      </c>
      <c r="X329" s="60" t="s">
        <v>113</v>
      </c>
      <c r="Y329" s="60" t="s">
        <v>113</v>
      </c>
      <c r="Z329" s="18" t="s">
        <v>113</v>
      </c>
      <c r="AA329" s="17" t="s">
        <v>113</v>
      </c>
      <c r="AB329" s="17"/>
      <c r="AC329" s="60" t="str">
        <f t="shared" si="134"/>
        <v/>
      </c>
    </row>
    <row r="330" spans="1:29" ht="13.5" thickBot="1" x14ac:dyDescent="0.25">
      <c r="A330" s="149" t="s">
        <v>114</v>
      </c>
      <c r="B330" s="50" t="s">
        <v>125</v>
      </c>
      <c r="C330" s="27">
        <v>0</v>
      </c>
      <c r="D330" s="36"/>
      <c r="E330" s="32">
        <v>2</v>
      </c>
      <c r="F330" s="60" t="s">
        <v>113</v>
      </c>
      <c r="G330" s="60" t="s">
        <v>113</v>
      </c>
      <c r="H330" s="60" t="s">
        <v>113</v>
      </c>
      <c r="I330" s="60" t="s">
        <v>113</v>
      </c>
      <c r="J330" s="148" t="s">
        <v>113</v>
      </c>
      <c r="K330" s="148" t="s">
        <v>113</v>
      </c>
      <c r="L330" s="148" t="s">
        <v>113</v>
      </c>
      <c r="M330" s="60" t="s">
        <v>113</v>
      </c>
      <c r="N330" s="60" t="s">
        <v>113</v>
      </c>
      <c r="O330" s="60" t="s">
        <v>113</v>
      </c>
      <c r="P330" s="60" t="s">
        <v>113</v>
      </c>
      <c r="Q330" s="59" t="s">
        <v>113</v>
      </c>
      <c r="R330" s="59" t="s">
        <v>113</v>
      </c>
      <c r="S330" s="60" t="s">
        <v>113</v>
      </c>
      <c r="T330" s="60" t="s">
        <v>113</v>
      </c>
      <c r="U330" s="60" t="s">
        <v>113</v>
      </c>
      <c r="V330" s="154" t="str">
        <f t="shared" si="154"/>
        <v/>
      </c>
      <c r="W330" s="155" t="str">
        <f t="shared" si="155"/>
        <v/>
      </c>
      <c r="X330" s="60" t="s">
        <v>113</v>
      </c>
      <c r="Y330" s="60" t="s">
        <v>113</v>
      </c>
      <c r="Z330" s="20" t="s">
        <v>113</v>
      </c>
      <c r="AA330" s="21" t="s">
        <v>113</v>
      </c>
      <c r="AB330" s="21"/>
      <c r="AC330" s="60" t="str">
        <f t="shared" si="134"/>
        <v/>
      </c>
    </row>
    <row r="331" spans="1:29" x14ac:dyDescent="0.2">
      <c r="A331" s="143" t="s">
        <v>114</v>
      </c>
      <c r="B331" s="28" t="s">
        <v>111</v>
      </c>
      <c r="C331" s="144">
        <v>0</v>
      </c>
      <c r="D331" s="145">
        <v>110</v>
      </c>
      <c r="E331" s="146" t="s">
        <v>112</v>
      </c>
      <c r="F331" s="7" t="s">
        <v>113</v>
      </c>
      <c r="G331" s="7" t="s">
        <v>113</v>
      </c>
      <c r="H331" s="7" t="s">
        <v>113</v>
      </c>
      <c r="I331" s="7" t="s">
        <v>113</v>
      </c>
      <c r="J331" s="147" t="s">
        <v>113</v>
      </c>
      <c r="K331" s="147" t="s">
        <v>113</v>
      </c>
      <c r="L331" s="147" t="s">
        <v>113</v>
      </c>
      <c r="M331" s="7" t="s">
        <v>113</v>
      </c>
      <c r="N331" s="7" t="s">
        <v>113</v>
      </c>
      <c r="O331" s="7" t="s">
        <v>113</v>
      </c>
      <c r="P331" s="7" t="s">
        <v>113</v>
      </c>
      <c r="Q331" s="147" t="s">
        <v>113</v>
      </c>
      <c r="R331" s="147" t="s">
        <v>113</v>
      </c>
      <c r="S331" s="7" t="s">
        <v>113</v>
      </c>
      <c r="T331" s="7" t="s">
        <v>113</v>
      </c>
      <c r="U331" s="147" t="s">
        <v>113</v>
      </c>
      <c r="V331" s="147" t="str">
        <f t="shared" ref="V331:W331" si="156">IF(ISERR(AVERAGE(V332:V333)),"",AVERAGE(V332:V333))</f>
        <v/>
      </c>
      <c r="W331" s="147" t="str">
        <f t="shared" si="156"/>
        <v/>
      </c>
      <c r="X331" s="7" t="s">
        <v>113</v>
      </c>
      <c r="Y331" s="7" t="s">
        <v>113</v>
      </c>
      <c r="Z331" s="7" t="s">
        <v>113</v>
      </c>
      <c r="AA331" s="7" t="s">
        <v>113</v>
      </c>
      <c r="AB331" s="12"/>
      <c r="AC331" s="7" t="str">
        <f t="shared" si="134"/>
        <v/>
      </c>
    </row>
    <row r="332" spans="1:29" x14ac:dyDescent="0.2">
      <c r="A332" s="143" t="s">
        <v>114</v>
      </c>
      <c r="B332" s="49" t="s">
        <v>111</v>
      </c>
      <c r="C332" s="26">
        <v>0</v>
      </c>
      <c r="D332" s="35"/>
      <c r="E332" s="31">
        <v>1</v>
      </c>
      <c r="F332" s="60" t="s">
        <v>113</v>
      </c>
      <c r="G332" s="60" t="s">
        <v>113</v>
      </c>
      <c r="H332" s="60" t="s">
        <v>113</v>
      </c>
      <c r="I332" s="60" t="s">
        <v>113</v>
      </c>
      <c r="J332" s="148" t="s">
        <v>113</v>
      </c>
      <c r="K332" s="148" t="s">
        <v>113</v>
      </c>
      <c r="L332" s="148" t="s">
        <v>113</v>
      </c>
      <c r="M332" s="60" t="s">
        <v>113</v>
      </c>
      <c r="N332" s="60" t="s">
        <v>113</v>
      </c>
      <c r="O332" s="60" t="s">
        <v>113</v>
      </c>
      <c r="P332" s="60" t="s">
        <v>113</v>
      </c>
      <c r="Q332" s="59" t="s">
        <v>113</v>
      </c>
      <c r="R332" s="59" t="s">
        <v>113</v>
      </c>
      <c r="S332" s="60" t="s">
        <v>113</v>
      </c>
      <c r="T332" s="60" t="s">
        <v>113</v>
      </c>
      <c r="U332" s="60" t="s">
        <v>113</v>
      </c>
      <c r="V332" s="154" t="str">
        <f t="shared" ref="V332:V333" si="157">IF(ISERR(Q332*($V$2/30)^2),"",(Q332*($V$2/30)^2))</f>
        <v/>
      </c>
      <c r="W332" s="155" t="str">
        <f t="shared" ref="W332:W333" si="158">IF(ISERR(((V332/453.59)*$V$2/375)*746),"",(((V332/453.59)*$V$2/375)*746))</f>
        <v/>
      </c>
      <c r="X332" s="60" t="s">
        <v>113</v>
      </c>
      <c r="Y332" s="60" t="s">
        <v>113</v>
      </c>
      <c r="Z332" s="18" t="s">
        <v>113</v>
      </c>
      <c r="AA332" s="17" t="s">
        <v>113</v>
      </c>
      <c r="AB332" s="17"/>
      <c r="AC332" s="60" t="str">
        <f t="shared" si="134"/>
        <v/>
      </c>
    </row>
    <row r="333" spans="1:29" ht="13.5" thickBot="1" x14ac:dyDescent="0.25">
      <c r="A333" s="149" t="s">
        <v>114</v>
      </c>
      <c r="B333" s="50" t="s">
        <v>111</v>
      </c>
      <c r="C333" s="27">
        <v>0</v>
      </c>
      <c r="D333" s="36"/>
      <c r="E333" s="32">
        <v>2</v>
      </c>
      <c r="F333" s="60" t="s">
        <v>113</v>
      </c>
      <c r="G333" s="60" t="s">
        <v>113</v>
      </c>
      <c r="H333" s="60" t="s">
        <v>113</v>
      </c>
      <c r="I333" s="60" t="s">
        <v>113</v>
      </c>
      <c r="J333" s="148" t="s">
        <v>113</v>
      </c>
      <c r="K333" s="148" t="s">
        <v>113</v>
      </c>
      <c r="L333" s="148" t="s">
        <v>113</v>
      </c>
      <c r="M333" s="60" t="s">
        <v>113</v>
      </c>
      <c r="N333" s="60" t="s">
        <v>113</v>
      </c>
      <c r="O333" s="60" t="s">
        <v>113</v>
      </c>
      <c r="P333" s="60" t="s">
        <v>113</v>
      </c>
      <c r="Q333" s="59" t="s">
        <v>113</v>
      </c>
      <c r="R333" s="59" t="s">
        <v>113</v>
      </c>
      <c r="S333" s="60" t="s">
        <v>113</v>
      </c>
      <c r="T333" s="60" t="s">
        <v>113</v>
      </c>
      <c r="U333" s="60" t="s">
        <v>113</v>
      </c>
      <c r="V333" s="154" t="str">
        <f t="shared" si="157"/>
        <v/>
      </c>
      <c r="W333" s="155" t="str">
        <f t="shared" si="158"/>
        <v/>
      </c>
      <c r="X333" s="60" t="s">
        <v>113</v>
      </c>
      <c r="Y333" s="60" t="s">
        <v>113</v>
      </c>
      <c r="Z333" s="20" t="s">
        <v>113</v>
      </c>
      <c r="AA333" s="21" t="s">
        <v>113</v>
      </c>
      <c r="AB333" s="21"/>
      <c r="AC333" s="60" t="str">
        <f t="shared" si="134"/>
        <v/>
      </c>
    </row>
    <row r="334" spans="1:29" x14ac:dyDescent="0.2">
      <c r="A334" s="143" t="s">
        <v>114</v>
      </c>
      <c r="B334" s="28" t="s">
        <v>125</v>
      </c>
      <c r="C334" s="144">
        <v>0</v>
      </c>
      <c r="D334" s="145">
        <v>111</v>
      </c>
      <c r="E334" s="146" t="s">
        <v>112</v>
      </c>
      <c r="F334" s="7" t="s">
        <v>113</v>
      </c>
      <c r="G334" s="7" t="s">
        <v>113</v>
      </c>
      <c r="H334" s="7" t="s">
        <v>113</v>
      </c>
      <c r="I334" s="7" t="s">
        <v>113</v>
      </c>
      <c r="J334" s="147" t="s">
        <v>113</v>
      </c>
      <c r="K334" s="147" t="s">
        <v>113</v>
      </c>
      <c r="L334" s="147" t="s">
        <v>113</v>
      </c>
      <c r="M334" s="7" t="s">
        <v>113</v>
      </c>
      <c r="N334" s="7" t="s">
        <v>113</v>
      </c>
      <c r="O334" s="7" t="s">
        <v>113</v>
      </c>
      <c r="P334" s="7" t="s">
        <v>113</v>
      </c>
      <c r="Q334" s="147" t="s">
        <v>113</v>
      </c>
      <c r="R334" s="147" t="s">
        <v>113</v>
      </c>
      <c r="S334" s="7" t="s">
        <v>113</v>
      </c>
      <c r="T334" s="7" t="s">
        <v>113</v>
      </c>
      <c r="U334" s="147" t="s">
        <v>113</v>
      </c>
      <c r="V334" s="147" t="str">
        <f t="shared" ref="V334:W334" si="159">IF(ISERR(AVERAGE(V335:V336)),"",AVERAGE(V335:V336))</f>
        <v/>
      </c>
      <c r="W334" s="147" t="str">
        <f t="shared" si="159"/>
        <v/>
      </c>
      <c r="X334" s="7" t="s">
        <v>113</v>
      </c>
      <c r="Y334" s="7" t="s">
        <v>113</v>
      </c>
      <c r="Z334" s="7" t="s">
        <v>113</v>
      </c>
      <c r="AA334" s="7" t="s">
        <v>113</v>
      </c>
      <c r="AB334" s="12"/>
      <c r="AC334" s="7" t="str">
        <f t="shared" si="134"/>
        <v/>
      </c>
    </row>
    <row r="335" spans="1:29" x14ac:dyDescent="0.2">
      <c r="A335" s="143" t="s">
        <v>114</v>
      </c>
      <c r="B335" s="49" t="s">
        <v>125</v>
      </c>
      <c r="C335" s="26">
        <v>0</v>
      </c>
      <c r="D335" s="35"/>
      <c r="E335" s="31">
        <v>1</v>
      </c>
      <c r="F335" s="60" t="s">
        <v>113</v>
      </c>
      <c r="G335" s="60" t="s">
        <v>113</v>
      </c>
      <c r="H335" s="60" t="s">
        <v>113</v>
      </c>
      <c r="I335" s="60" t="s">
        <v>113</v>
      </c>
      <c r="J335" s="148" t="s">
        <v>113</v>
      </c>
      <c r="K335" s="148" t="s">
        <v>113</v>
      </c>
      <c r="L335" s="148" t="s">
        <v>113</v>
      </c>
      <c r="M335" s="60" t="s">
        <v>113</v>
      </c>
      <c r="N335" s="60" t="s">
        <v>113</v>
      </c>
      <c r="O335" s="60" t="s">
        <v>113</v>
      </c>
      <c r="P335" s="60" t="s">
        <v>113</v>
      </c>
      <c r="Q335" s="59" t="s">
        <v>113</v>
      </c>
      <c r="R335" s="59" t="s">
        <v>113</v>
      </c>
      <c r="S335" s="60" t="s">
        <v>113</v>
      </c>
      <c r="T335" s="60" t="s">
        <v>113</v>
      </c>
      <c r="U335" s="60" t="s">
        <v>113</v>
      </c>
      <c r="V335" s="154" t="str">
        <f t="shared" ref="V335:V336" si="160">IF(ISERR(Q335*($V$2/30)^2),"",(Q335*($V$2/30)^2))</f>
        <v/>
      </c>
      <c r="W335" s="155" t="str">
        <f t="shared" ref="W335:W336" si="161">IF(ISERR(((V335/453.59)*$V$2/375)*746),"",(((V335/453.59)*$V$2/375)*746))</f>
        <v/>
      </c>
      <c r="X335" s="60" t="s">
        <v>113</v>
      </c>
      <c r="Y335" s="60" t="s">
        <v>113</v>
      </c>
      <c r="Z335" s="18" t="s">
        <v>113</v>
      </c>
      <c r="AA335" s="17" t="s">
        <v>113</v>
      </c>
      <c r="AB335" s="17"/>
      <c r="AC335" s="60" t="str">
        <f t="shared" si="134"/>
        <v/>
      </c>
    </row>
    <row r="336" spans="1:29" ht="13.5" thickBot="1" x14ac:dyDescent="0.25">
      <c r="A336" s="149" t="s">
        <v>114</v>
      </c>
      <c r="B336" s="50" t="s">
        <v>125</v>
      </c>
      <c r="C336" s="27">
        <v>0</v>
      </c>
      <c r="D336" s="36"/>
      <c r="E336" s="32">
        <v>2</v>
      </c>
      <c r="F336" s="60" t="s">
        <v>113</v>
      </c>
      <c r="G336" s="60" t="s">
        <v>113</v>
      </c>
      <c r="H336" s="60" t="s">
        <v>113</v>
      </c>
      <c r="I336" s="60" t="s">
        <v>113</v>
      </c>
      <c r="J336" s="148" t="s">
        <v>113</v>
      </c>
      <c r="K336" s="148" t="s">
        <v>113</v>
      </c>
      <c r="L336" s="148" t="s">
        <v>113</v>
      </c>
      <c r="M336" s="60" t="s">
        <v>113</v>
      </c>
      <c r="N336" s="60" t="s">
        <v>113</v>
      </c>
      <c r="O336" s="60" t="s">
        <v>113</v>
      </c>
      <c r="P336" s="60" t="s">
        <v>113</v>
      </c>
      <c r="Q336" s="59" t="s">
        <v>113</v>
      </c>
      <c r="R336" s="59" t="s">
        <v>113</v>
      </c>
      <c r="S336" s="60" t="s">
        <v>113</v>
      </c>
      <c r="T336" s="60" t="s">
        <v>113</v>
      </c>
      <c r="U336" s="60" t="s">
        <v>113</v>
      </c>
      <c r="V336" s="154" t="str">
        <f t="shared" si="160"/>
        <v/>
      </c>
      <c r="W336" s="155" t="str">
        <f t="shared" si="161"/>
        <v/>
      </c>
      <c r="X336" s="60" t="s">
        <v>113</v>
      </c>
      <c r="Y336" s="60" t="s">
        <v>113</v>
      </c>
      <c r="Z336" s="20" t="s">
        <v>113</v>
      </c>
      <c r="AA336" s="21" t="s">
        <v>113</v>
      </c>
      <c r="AB336" s="21"/>
      <c r="AC336" s="60" t="str">
        <f t="shared" si="134"/>
        <v/>
      </c>
    </row>
    <row r="337" spans="1:29" x14ac:dyDescent="0.2">
      <c r="A337" s="143" t="s">
        <v>114</v>
      </c>
      <c r="B337" s="28" t="s">
        <v>111</v>
      </c>
      <c r="C337" s="144">
        <v>0</v>
      </c>
      <c r="D337" s="145">
        <v>112</v>
      </c>
      <c r="E337" s="146" t="s">
        <v>112</v>
      </c>
      <c r="F337" s="7" t="s">
        <v>113</v>
      </c>
      <c r="G337" s="7" t="s">
        <v>113</v>
      </c>
      <c r="H337" s="7" t="s">
        <v>113</v>
      </c>
      <c r="I337" s="7" t="s">
        <v>113</v>
      </c>
      <c r="J337" s="147" t="s">
        <v>113</v>
      </c>
      <c r="K337" s="147" t="s">
        <v>113</v>
      </c>
      <c r="L337" s="147" t="s">
        <v>113</v>
      </c>
      <c r="M337" s="7" t="s">
        <v>113</v>
      </c>
      <c r="N337" s="7" t="s">
        <v>113</v>
      </c>
      <c r="O337" s="7" t="s">
        <v>113</v>
      </c>
      <c r="P337" s="7" t="s">
        <v>113</v>
      </c>
      <c r="Q337" s="147" t="s">
        <v>113</v>
      </c>
      <c r="R337" s="147" t="s">
        <v>113</v>
      </c>
      <c r="S337" s="7" t="s">
        <v>113</v>
      </c>
      <c r="T337" s="7" t="s">
        <v>113</v>
      </c>
      <c r="U337" s="147" t="s">
        <v>113</v>
      </c>
      <c r="V337" s="147" t="str">
        <f t="shared" ref="V337:W337" si="162">IF(ISERR(AVERAGE(V338:V339)),"",AVERAGE(V338:V339))</f>
        <v/>
      </c>
      <c r="W337" s="147" t="str">
        <f t="shared" si="162"/>
        <v/>
      </c>
      <c r="X337" s="7" t="s">
        <v>113</v>
      </c>
      <c r="Y337" s="7" t="s">
        <v>113</v>
      </c>
      <c r="Z337" s="7" t="s">
        <v>113</v>
      </c>
      <c r="AA337" s="7" t="s">
        <v>113</v>
      </c>
      <c r="AB337" s="12"/>
      <c r="AC337" s="7" t="str">
        <f t="shared" si="134"/>
        <v/>
      </c>
    </row>
    <row r="338" spans="1:29" x14ac:dyDescent="0.2">
      <c r="A338" s="143" t="s">
        <v>114</v>
      </c>
      <c r="B338" s="49" t="s">
        <v>111</v>
      </c>
      <c r="C338" s="26">
        <v>0</v>
      </c>
      <c r="D338" s="35"/>
      <c r="E338" s="31">
        <v>1</v>
      </c>
      <c r="F338" s="60" t="s">
        <v>113</v>
      </c>
      <c r="G338" s="60" t="s">
        <v>113</v>
      </c>
      <c r="H338" s="60" t="s">
        <v>113</v>
      </c>
      <c r="I338" s="60" t="s">
        <v>113</v>
      </c>
      <c r="J338" s="148" t="s">
        <v>113</v>
      </c>
      <c r="K338" s="148" t="s">
        <v>113</v>
      </c>
      <c r="L338" s="148" t="s">
        <v>113</v>
      </c>
      <c r="M338" s="60" t="s">
        <v>113</v>
      </c>
      <c r="N338" s="60" t="s">
        <v>113</v>
      </c>
      <c r="O338" s="60" t="s">
        <v>113</v>
      </c>
      <c r="P338" s="60" t="s">
        <v>113</v>
      </c>
      <c r="Q338" s="59" t="s">
        <v>113</v>
      </c>
      <c r="R338" s="59" t="s">
        <v>113</v>
      </c>
      <c r="S338" s="60" t="s">
        <v>113</v>
      </c>
      <c r="T338" s="60" t="s">
        <v>113</v>
      </c>
      <c r="U338" s="60" t="s">
        <v>113</v>
      </c>
      <c r="V338" s="154" t="str">
        <f t="shared" ref="V338:V339" si="163">IF(ISERR(Q338*($V$2/30)^2),"",(Q338*($V$2/30)^2))</f>
        <v/>
      </c>
      <c r="W338" s="155" t="str">
        <f t="shared" ref="W338:W339" si="164">IF(ISERR(((V338/453.59)*$V$2/375)*746),"",(((V338/453.59)*$V$2/375)*746))</f>
        <v/>
      </c>
      <c r="X338" s="60" t="s">
        <v>113</v>
      </c>
      <c r="Y338" s="60" t="s">
        <v>113</v>
      </c>
      <c r="Z338" s="18" t="s">
        <v>113</v>
      </c>
      <c r="AA338" s="17" t="s">
        <v>113</v>
      </c>
      <c r="AB338" s="17"/>
      <c r="AC338" s="60" t="str">
        <f t="shared" si="134"/>
        <v/>
      </c>
    </row>
    <row r="339" spans="1:29" ht="13.5" thickBot="1" x14ac:dyDescent="0.25">
      <c r="A339" s="149" t="s">
        <v>114</v>
      </c>
      <c r="B339" s="50" t="s">
        <v>111</v>
      </c>
      <c r="C339" s="27">
        <v>0</v>
      </c>
      <c r="D339" s="36"/>
      <c r="E339" s="32">
        <v>2</v>
      </c>
      <c r="F339" s="60" t="s">
        <v>113</v>
      </c>
      <c r="G339" s="60" t="s">
        <v>113</v>
      </c>
      <c r="H339" s="60" t="s">
        <v>113</v>
      </c>
      <c r="I339" s="60" t="s">
        <v>113</v>
      </c>
      <c r="J339" s="148" t="s">
        <v>113</v>
      </c>
      <c r="K339" s="148" t="s">
        <v>113</v>
      </c>
      <c r="L339" s="148" t="s">
        <v>113</v>
      </c>
      <c r="M339" s="60" t="s">
        <v>113</v>
      </c>
      <c r="N339" s="60" t="s">
        <v>113</v>
      </c>
      <c r="O339" s="60" t="s">
        <v>113</v>
      </c>
      <c r="P339" s="60" t="s">
        <v>113</v>
      </c>
      <c r="Q339" s="59" t="s">
        <v>113</v>
      </c>
      <c r="R339" s="59" t="s">
        <v>113</v>
      </c>
      <c r="S339" s="60" t="s">
        <v>113</v>
      </c>
      <c r="T339" s="60" t="s">
        <v>113</v>
      </c>
      <c r="U339" s="60" t="s">
        <v>113</v>
      </c>
      <c r="V339" s="154" t="str">
        <f t="shared" si="163"/>
        <v/>
      </c>
      <c r="W339" s="155" t="str">
        <f t="shared" si="164"/>
        <v/>
      </c>
      <c r="X339" s="60" t="s">
        <v>113</v>
      </c>
      <c r="Y339" s="60" t="s">
        <v>113</v>
      </c>
      <c r="Z339" s="20" t="s">
        <v>113</v>
      </c>
      <c r="AA339" s="21" t="s">
        <v>113</v>
      </c>
      <c r="AB339" s="21"/>
      <c r="AC339" s="60" t="str">
        <f t="shared" si="134"/>
        <v/>
      </c>
    </row>
    <row r="340" spans="1:29" x14ac:dyDescent="0.2">
      <c r="A340" s="143" t="s">
        <v>114</v>
      </c>
      <c r="B340" s="28" t="s">
        <v>125</v>
      </c>
      <c r="C340" s="144">
        <v>0</v>
      </c>
      <c r="D340" s="145">
        <v>113</v>
      </c>
      <c r="E340" s="146" t="s">
        <v>112</v>
      </c>
      <c r="F340" s="7" t="s">
        <v>113</v>
      </c>
      <c r="G340" s="7" t="s">
        <v>113</v>
      </c>
      <c r="H340" s="7" t="s">
        <v>113</v>
      </c>
      <c r="I340" s="7" t="s">
        <v>113</v>
      </c>
      <c r="J340" s="147" t="s">
        <v>113</v>
      </c>
      <c r="K340" s="147" t="s">
        <v>113</v>
      </c>
      <c r="L340" s="147" t="s">
        <v>113</v>
      </c>
      <c r="M340" s="7" t="s">
        <v>113</v>
      </c>
      <c r="N340" s="7" t="s">
        <v>113</v>
      </c>
      <c r="O340" s="7" t="s">
        <v>113</v>
      </c>
      <c r="P340" s="7" t="s">
        <v>113</v>
      </c>
      <c r="Q340" s="147" t="s">
        <v>113</v>
      </c>
      <c r="R340" s="147" t="s">
        <v>113</v>
      </c>
      <c r="S340" s="7" t="s">
        <v>113</v>
      </c>
      <c r="T340" s="7" t="s">
        <v>113</v>
      </c>
      <c r="U340" s="147" t="s">
        <v>113</v>
      </c>
      <c r="V340" s="147" t="str">
        <f t="shared" ref="V340:W340" si="165">IF(ISERR(AVERAGE(V341:V342)),"",AVERAGE(V341:V342))</f>
        <v/>
      </c>
      <c r="W340" s="147" t="str">
        <f t="shared" si="165"/>
        <v/>
      </c>
      <c r="X340" s="7" t="s">
        <v>113</v>
      </c>
      <c r="Y340" s="7" t="s">
        <v>113</v>
      </c>
      <c r="Z340" s="7" t="s">
        <v>113</v>
      </c>
      <c r="AA340" s="7" t="s">
        <v>113</v>
      </c>
      <c r="AB340" s="12"/>
      <c r="AC340" s="7" t="str">
        <f t="shared" si="134"/>
        <v/>
      </c>
    </row>
    <row r="341" spans="1:29" x14ac:dyDescent="0.2">
      <c r="A341" s="143" t="s">
        <v>114</v>
      </c>
      <c r="B341" s="49" t="s">
        <v>125</v>
      </c>
      <c r="C341" s="26">
        <v>0</v>
      </c>
      <c r="D341" s="35"/>
      <c r="E341" s="31">
        <v>1</v>
      </c>
      <c r="F341" s="60" t="s">
        <v>113</v>
      </c>
      <c r="G341" s="60" t="s">
        <v>113</v>
      </c>
      <c r="H341" s="60" t="s">
        <v>113</v>
      </c>
      <c r="I341" s="60" t="s">
        <v>113</v>
      </c>
      <c r="J341" s="148" t="s">
        <v>113</v>
      </c>
      <c r="K341" s="148" t="s">
        <v>113</v>
      </c>
      <c r="L341" s="148" t="s">
        <v>113</v>
      </c>
      <c r="M341" s="60" t="s">
        <v>113</v>
      </c>
      <c r="N341" s="60" t="s">
        <v>113</v>
      </c>
      <c r="O341" s="60" t="s">
        <v>113</v>
      </c>
      <c r="P341" s="60" t="s">
        <v>113</v>
      </c>
      <c r="Q341" s="59" t="s">
        <v>113</v>
      </c>
      <c r="R341" s="59" t="s">
        <v>113</v>
      </c>
      <c r="S341" s="60" t="s">
        <v>113</v>
      </c>
      <c r="T341" s="60" t="s">
        <v>113</v>
      </c>
      <c r="U341" s="60" t="s">
        <v>113</v>
      </c>
      <c r="V341" s="154" t="str">
        <f t="shared" ref="V341:V342" si="166">IF(ISERR(Q341*($V$2/30)^2),"",(Q341*($V$2/30)^2))</f>
        <v/>
      </c>
      <c r="W341" s="155" t="str">
        <f t="shared" ref="W341:W342" si="167">IF(ISERR(((V341/453.59)*$V$2/375)*746),"",(((V341/453.59)*$V$2/375)*746))</f>
        <v/>
      </c>
      <c r="X341" s="60" t="s">
        <v>113</v>
      </c>
      <c r="Y341" s="60" t="s">
        <v>113</v>
      </c>
      <c r="Z341" s="18" t="s">
        <v>113</v>
      </c>
      <c r="AA341" s="17" t="s">
        <v>113</v>
      </c>
      <c r="AB341" s="17"/>
      <c r="AC341" s="60" t="str">
        <f t="shared" si="134"/>
        <v/>
      </c>
    </row>
    <row r="342" spans="1:29" ht="13.5" thickBot="1" x14ac:dyDescent="0.25">
      <c r="A342" s="149" t="s">
        <v>114</v>
      </c>
      <c r="B342" s="50" t="s">
        <v>125</v>
      </c>
      <c r="C342" s="27">
        <v>0</v>
      </c>
      <c r="D342" s="36"/>
      <c r="E342" s="32">
        <v>2</v>
      </c>
      <c r="F342" s="60" t="s">
        <v>113</v>
      </c>
      <c r="G342" s="60" t="s">
        <v>113</v>
      </c>
      <c r="H342" s="60" t="s">
        <v>113</v>
      </c>
      <c r="I342" s="60" t="s">
        <v>113</v>
      </c>
      <c r="J342" s="148" t="s">
        <v>113</v>
      </c>
      <c r="K342" s="148" t="s">
        <v>113</v>
      </c>
      <c r="L342" s="148" t="s">
        <v>113</v>
      </c>
      <c r="M342" s="60" t="s">
        <v>113</v>
      </c>
      <c r="N342" s="60" t="s">
        <v>113</v>
      </c>
      <c r="O342" s="60" t="s">
        <v>113</v>
      </c>
      <c r="P342" s="60" t="s">
        <v>113</v>
      </c>
      <c r="Q342" s="59" t="s">
        <v>113</v>
      </c>
      <c r="R342" s="59" t="s">
        <v>113</v>
      </c>
      <c r="S342" s="60" t="s">
        <v>113</v>
      </c>
      <c r="T342" s="60" t="s">
        <v>113</v>
      </c>
      <c r="U342" s="60" t="s">
        <v>113</v>
      </c>
      <c r="V342" s="154" t="str">
        <f t="shared" si="166"/>
        <v/>
      </c>
      <c r="W342" s="155" t="str">
        <f t="shared" si="167"/>
        <v/>
      </c>
      <c r="X342" s="60" t="s">
        <v>113</v>
      </c>
      <c r="Y342" s="60" t="s">
        <v>113</v>
      </c>
      <c r="Z342" s="20" t="s">
        <v>113</v>
      </c>
      <c r="AA342" s="21" t="s">
        <v>113</v>
      </c>
      <c r="AB342" s="21"/>
      <c r="AC342" s="60" t="str">
        <f t="shared" si="134"/>
        <v/>
      </c>
    </row>
    <row r="343" spans="1:29" x14ac:dyDescent="0.2">
      <c r="A343" s="143" t="s">
        <v>114</v>
      </c>
      <c r="B343" s="28" t="s">
        <v>111</v>
      </c>
      <c r="C343" s="144">
        <v>0</v>
      </c>
      <c r="D343" s="145">
        <v>114</v>
      </c>
      <c r="E343" s="146" t="s">
        <v>112</v>
      </c>
      <c r="F343" s="7" t="s">
        <v>113</v>
      </c>
      <c r="G343" s="7" t="s">
        <v>113</v>
      </c>
      <c r="H343" s="7" t="s">
        <v>113</v>
      </c>
      <c r="I343" s="7" t="s">
        <v>113</v>
      </c>
      <c r="J343" s="147" t="s">
        <v>113</v>
      </c>
      <c r="K343" s="147" t="s">
        <v>113</v>
      </c>
      <c r="L343" s="147" t="s">
        <v>113</v>
      </c>
      <c r="M343" s="7" t="s">
        <v>113</v>
      </c>
      <c r="N343" s="7" t="s">
        <v>113</v>
      </c>
      <c r="O343" s="7" t="s">
        <v>113</v>
      </c>
      <c r="P343" s="7" t="s">
        <v>113</v>
      </c>
      <c r="Q343" s="147" t="s">
        <v>113</v>
      </c>
      <c r="R343" s="147" t="s">
        <v>113</v>
      </c>
      <c r="S343" s="7" t="s">
        <v>113</v>
      </c>
      <c r="T343" s="7" t="s">
        <v>113</v>
      </c>
      <c r="U343" s="147" t="s">
        <v>113</v>
      </c>
      <c r="V343" s="147" t="str">
        <f t="shared" ref="V343:W343" si="168">IF(ISERR(AVERAGE(V344:V345)),"",AVERAGE(V344:V345))</f>
        <v/>
      </c>
      <c r="W343" s="147" t="str">
        <f t="shared" si="168"/>
        <v/>
      </c>
      <c r="X343" s="7" t="s">
        <v>113</v>
      </c>
      <c r="Y343" s="7" t="s">
        <v>113</v>
      </c>
      <c r="Z343" s="7" t="s">
        <v>113</v>
      </c>
      <c r="AA343" s="7" t="s">
        <v>113</v>
      </c>
      <c r="AB343" s="12"/>
      <c r="AC343" s="7" t="str">
        <f t="shared" si="134"/>
        <v/>
      </c>
    </row>
    <row r="344" spans="1:29" x14ac:dyDescent="0.2">
      <c r="A344" s="143" t="s">
        <v>114</v>
      </c>
      <c r="B344" s="49" t="s">
        <v>111</v>
      </c>
      <c r="C344" s="26">
        <v>0</v>
      </c>
      <c r="D344" s="35"/>
      <c r="E344" s="31">
        <v>1</v>
      </c>
      <c r="F344" s="60" t="s">
        <v>113</v>
      </c>
      <c r="G344" s="60" t="s">
        <v>113</v>
      </c>
      <c r="H344" s="60" t="s">
        <v>113</v>
      </c>
      <c r="I344" s="60" t="s">
        <v>113</v>
      </c>
      <c r="J344" s="148" t="s">
        <v>113</v>
      </c>
      <c r="K344" s="148" t="s">
        <v>113</v>
      </c>
      <c r="L344" s="148" t="s">
        <v>113</v>
      </c>
      <c r="M344" s="60" t="s">
        <v>113</v>
      </c>
      <c r="N344" s="60" t="s">
        <v>113</v>
      </c>
      <c r="O344" s="60" t="s">
        <v>113</v>
      </c>
      <c r="P344" s="60" t="s">
        <v>113</v>
      </c>
      <c r="Q344" s="59" t="s">
        <v>113</v>
      </c>
      <c r="R344" s="59" t="s">
        <v>113</v>
      </c>
      <c r="S344" s="60" t="s">
        <v>113</v>
      </c>
      <c r="T344" s="60" t="s">
        <v>113</v>
      </c>
      <c r="U344" s="60" t="s">
        <v>113</v>
      </c>
      <c r="V344" s="154" t="str">
        <f t="shared" ref="V344:V345" si="169">IF(ISERR(Q344*($V$2/30)^2),"",(Q344*($V$2/30)^2))</f>
        <v/>
      </c>
      <c r="W344" s="155" t="str">
        <f t="shared" ref="W344:W345" si="170">IF(ISERR(((V344/453.59)*$V$2/375)*746),"",(((V344/453.59)*$V$2/375)*746))</f>
        <v/>
      </c>
      <c r="X344" s="60" t="s">
        <v>113</v>
      </c>
      <c r="Y344" s="60" t="s">
        <v>113</v>
      </c>
      <c r="Z344" s="18" t="s">
        <v>113</v>
      </c>
      <c r="AA344" s="17" t="s">
        <v>113</v>
      </c>
      <c r="AB344" s="17"/>
      <c r="AC344" s="60" t="str">
        <f t="shared" si="134"/>
        <v/>
      </c>
    </row>
    <row r="345" spans="1:29" ht="13.5" thickBot="1" x14ac:dyDescent="0.25">
      <c r="A345" s="149" t="s">
        <v>114</v>
      </c>
      <c r="B345" s="50" t="s">
        <v>111</v>
      </c>
      <c r="C345" s="27">
        <v>0</v>
      </c>
      <c r="D345" s="36"/>
      <c r="E345" s="32">
        <v>2</v>
      </c>
      <c r="F345" s="60" t="s">
        <v>113</v>
      </c>
      <c r="G345" s="60" t="s">
        <v>113</v>
      </c>
      <c r="H345" s="60" t="s">
        <v>113</v>
      </c>
      <c r="I345" s="60" t="s">
        <v>113</v>
      </c>
      <c r="J345" s="148" t="s">
        <v>113</v>
      </c>
      <c r="K345" s="148" t="s">
        <v>113</v>
      </c>
      <c r="L345" s="148" t="s">
        <v>113</v>
      </c>
      <c r="M345" s="60" t="s">
        <v>113</v>
      </c>
      <c r="N345" s="60" t="s">
        <v>113</v>
      </c>
      <c r="O345" s="60" t="s">
        <v>113</v>
      </c>
      <c r="P345" s="60" t="s">
        <v>113</v>
      </c>
      <c r="Q345" s="59" t="s">
        <v>113</v>
      </c>
      <c r="R345" s="59" t="s">
        <v>113</v>
      </c>
      <c r="S345" s="60" t="s">
        <v>113</v>
      </c>
      <c r="T345" s="60" t="s">
        <v>113</v>
      </c>
      <c r="U345" s="60" t="s">
        <v>113</v>
      </c>
      <c r="V345" s="154" t="str">
        <f t="shared" si="169"/>
        <v/>
      </c>
      <c r="W345" s="155" t="str">
        <f t="shared" si="170"/>
        <v/>
      </c>
      <c r="X345" s="60" t="s">
        <v>113</v>
      </c>
      <c r="Y345" s="60" t="s">
        <v>113</v>
      </c>
      <c r="Z345" s="20" t="s">
        <v>113</v>
      </c>
      <c r="AA345" s="21" t="s">
        <v>113</v>
      </c>
      <c r="AB345" s="21"/>
      <c r="AC345" s="60" t="str">
        <f t="shared" si="134"/>
        <v/>
      </c>
    </row>
    <row r="346" spans="1:29" x14ac:dyDescent="0.2">
      <c r="A346" s="143" t="s">
        <v>114</v>
      </c>
      <c r="B346" s="28" t="s">
        <v>125</v>
      </c>
      <c r="C346" s="144">
        <v>0</v>
      </c>
      <c r="D346" s="145">
        <v>115</v>
      </c>
      <c r="E346" s="146" t="s">
        <v>112</v>
      </c>
      <c r="F346" s="7" t="s">
        <v>113</v>
      </c>
      <c r="G346" s="7" t="s">
        <v>113</v>
      </c>
      <c r="H346" s="7" t="s">
        <v>113</v>
      </c>
      <c r="I346" s="7" t="s">
        <v>113</v>
      </c>
      <c r="J346" s="147" t="s">
        <v>113</v>
      </c>
      <c r="K346" s="147" t="s">
        <v>113</v>
      </c>
      <c r="L346" s="147" t="s">
        <v>113</v>
      </c>
      <c r="M346" s="7" t="s">
        <v>113</v>
      </c>
      <c r="N346" s="7" t="s">
        <v>113</v>
      </c>
      <c r="O346" s="7" t="s">
        <v>113</v>
      </c>
      <c r="P346" s="7" t="s">
        <v>113</v>
      </c>
      <c r="Q346" s="147" t="s">
        <v>113</v>
      </c>
      <c r="R346" s="147" t="s">
        <v>113</v>
      </c>
      <c r="S346" s="7" t="s">
        <v>113</v>
      </c>
      <c r="T346" s="7" t="s">
        <v>113</v>
      </c>
      <c r="U346" s="147" t="s">
        <v>113</v>
      </c>
      <c r="V346" s="147" t="str">
        <f t="shared" ref="V346:W346" si="171">IF(ISERR(AVERAGE(V347:V348)),"",AVERAGE(V347:V348))</f>
        <v/>
      </c>
      <c r="W346" s="147" t="str">
        <f t="shared" si="171"/>
        <v/>
      </c>
      <c r="X346" s="7" t="s">
        <v>113</v>
      </c>
      <c r="Y346" s="7" t="s">
        <v>113</v>
      </c>
      <c r="Z346" s="7" t="s">
        <v>113</v>
      </c>
      <c r="AA346" s="7" t="s">
        <v>113</v>
      </c>
      <c r="AB346" s="12"/>
      <c r="AC346" s="7" t="str">
        <f t="shared" si="134"/>
        <v/>
      </c>
    </row>
    <row r="347" spans="1:29" x14ac:dyDescent="0.2">
      <c r="A347" s="143" t="s">
        <v>114</v>
      </c>
      <c r="B347" s="49" t="s">
        <v>125</v>
      </c>
      <c r="C347" s="26">
        <v>0</v>
      </c>
      <c r="D347" s="35"/>
      <c r="E347" s="31">
        <v>1</v>
      </c>
      <c r="F347" s="60" t="s">
        <v>113</v>
      </c>
      <c r="G347" s="60" t="s">
        <v>113</v>
      </c>
      <c r="H347" s="60" t="s">
        <v>113</v>
      </c>
      <c r="I347" s="60" t="s">
        <v>113</v>
      </c>
      <c r="J347" s="148" t="s">
        <v>113</v>
      </c>
      <c r="K347" s="148" t="s">
        <v>113</v>
      </c>
      <c r="L347" s="148" t="s">
        <v>113</v>
      </c>
      <c r="M347" s="60" t="s">
        <v>113</v>
      </c>
      <c r="N347" s="60" t="s">
        <v>113</v>
      </c>
      <c r="O347" s="60" t="s">
        <v>113</v>
      </c>
      <c r="P347" s="60" t="s">
        <v>113</v>
      </c>
      <c r="Q347" s="59" t="s">
        <v>113</v>
      </c>
      <c r="R347" s="59" t="s">
        <v>113</v>
      </c>
      <c r="S347" s="60" t="s">
        <v>113</v>
      </c>
      <c r="T347" s="60" t="s">
        <v>113</v>
      </c>
      <c r="U347" s="60" t="s">
        <v>113</v>
      </c>
      <c r="V347" s="154" t="str">
        <f t="shared" ref="V347:V348" si="172">IF(ISERR(Q347*($V$2/30)^2),"",(Q347*($V$2/30)^2))</f>
        <v/>
      </c>
      <c r="W347" s="155" t="str">
        <f t="shared" ref="W347:W348" si="173">IF(ISERR(((V347/453.59)*$V$2/375)*746),"",(((V347/453.59)*$V$2/375)*746))</f>
        <v/>
      </c>
      <c r="X347" s="60" t="s">
        <v>113</v>
      </c>
      <c r="Y347" s="60" t="s">
        <v>113</v>
      </c>
      <c r="Z347" s="18" t="s">
        <v>113</v>
      </c>
      <c r="AA347" s="17" t="s">
        <v>113</v>
      </c>
      <c r="AB347" s="17"/>
      <c r="AC347" s="60" t="str">
        <f t="shared" si="134"/>
        <v/>
      </c>
    </row>
    <row r="348" spans="1:29" ht="13.5" thickBot="1" x14ac:dyDescent="0.25">
      <c r="A348" s="149" t="s">
        <v>114</v>
      </c>
      <c r="B348" s="50" t="s">
        <v>125</v>
      </c>
      <c r="C348" s="27">
        <v>0</v>
      </c>
      <c r="D348" s="36"/>
      <c r="E348" s="32">
        <v>2</v>
      </c>
      <c r="F348" s="60" t="s">
        <v>113</v>
      </c>
      <c r="G348" s="60" t="s">
        <v>113</v>
      </c>
      <c r="H348" s="60" t="s">
        <v>113</v>
      </c>
      <c r="I348" s="60" t="s">
        <v>113</v>
      </c>
      <c r="J348" s="148" t="s">
        <v>113</v>
      </c>
      <c r="K348" s="148" t="s">
        <v>113</v>
      </c>
      <c r="L348" s="148" t="s">
        <v>113</v>
      </c>
      <c r="M348" s="60" t="s">
        <v>113</v>
      </c>
      <c r="N348" s="60" t="s">
        <v>113</v>
      </c>
      <c r="O348" s="60" t="s">
        <v>113</v>
      </c>
      <c r="P348" s="60" t="s">
        <v>113</v>
      </c>
      <c r="Q348" s="59" t="s">
        <v>113</v>
      </c>
      <c r="R348" s="59" t="s">
        <v>113</v>
      </c>
      <c r="S348" s="60" t="s">
        <v>113</v>
      </c>
      <c r="T348" s="60" t="s">
        <v>113</v>
      </c>
      <c r="U348" s="60" t="s">
        <v>113</v>
      </c>
      <c r="V348" s="154" t="str">
        <f t="shared" si="172"/>
        <v/>
      </c>
      <c r="W348" s="155" t="str">
        <f t="shared" si="173"/>
        <v/>
      </c>
      <c r="X348" s="60" t="s">
        <v>113</v>
      </c>
      <c r="Y348" s="60" t="s">
        <v>113</v>
      </c>
      <c r="Z348" s="20" t="s">
        <v>113</v>
      </c>
      <c r="AA348" s="21" t="s">
        <v>113</v>
      </c>
      <c r="AB348" s="21"/>
      <c r="AC348" s="60" t="str">
        <f t="shared" si="134"/>
        <v/>
      </c>
    </row>
    <row r="349" spans="1:29" x14ac:dyDescent="0.2">
      <c r="A349" s="143" t="s">
        <v>114</v>
      </c>
      <c r="B349" s="28" t="s">
        <v>111</v>
      </c>
      <c r="C349" s="144">
        <v>0</v>
      </c>
      <c r="D349" s="145">
        <v>116</v>
      </c>
      <c r="E349" s="146" t="s">
        <v>112</v>
      </c>
      <c r="F349" s="7" t="s">
        <v>113</v>
      </c>
      <c r="G349" s="7" t="s">
        <v>113</v>
      </c>
      <c r="H349" s="7" t="s">
        <v>113</v>
      </c>
      <c r="I349" s="7" t="s">
        <v>113</v>
      </c>
      <c r="J349" s="147" t="s">
        <v>113</v>
      </c>
      <c r="K349" s="147" t="s">
        <v>113</v>
      </c>
      <c r="L349" s="147" t="s">
        <v>113</v>
      </c>
      <c r="M349" s="7" t="s">
        <v>113</v>
      </c>
      <c r="N349" s="7" t="s">
        <v>113</v>
      </c>
      <c r="O349" s="7" t="s">
        <v>113</v>
      </c>
      <c r="P349" s="7" t="s">
        <v>113</v>
      </c>
      <c r="Q349" s="147" t="s">
        <v>113</v>
      </c>
      <c r="R349" s="147" t="s">
        <v>113</v>
      </c>
      <c r="S349" s="7" t="s">
        <v>113</v>
      </c>
      <c r="T349" s="7" t="s">
        <v>113</v>
      </c>
      <c r="U349" s="147" t="s">
        <v>113</v>
      </c>
      <c r="V349" s="147" t="str">
        <f t="shared" ref="V349:W349" si="174">IF(ISERR(AVERAGE(V350:V351)),"",AVERAGE(V350:V351))</f>
        <v/>
      </c>
      <c r="W349" s="147" t="str">
        <f t="shared" si="174"/>
        <v/>
      </c>
      <c r="X349" s="7" t="s">
        <v>113</v>
      </c>
      <c r="Y349" s="7" t="s">
        <v>113</v>
      </c>
      <c r="Z349" s="7" t="s">
        <v>113</v>
      </c>
      <c r="AA349" s="7" t="s">
        <v>113</v>
      </c>
      <c r="AB349" s="12"/>
      <c r="AC349" s="7" t="str">
        <f t="shared" si="134"/>
        <v/>
      </c>
    </row>
    <row r="350" spans="1:29" x14ac:dyDescent="0.2">
      <c r="A350" s="143" t="s">
        <v>114</v>
      </c>
      <c r="B350" s="49" t="s">
        <v>111</v>
      </c>
      <c r="C350" s="26">
        <v>0</v>
      </c>
      <c r="D350" s="35"/>
      <c r="E350" s="31">
        <v>1</v>
      </c>
      <c r="F350" s="60" t="s">
        <v>113</v>
      </c>
      <c r="G350" s="60" t="s">
        <v>113</v>
      </c>
      <c r="H350" s="60" t="s">
        <v>113</v>
      </c>
      <c r="I350" s="60" t="s">
        <v>113</v>
      </c>
      <c r="J350" s="148" t="s">
        <v>113</v>
      </c>
      <c r="K350" s="148" t="s">
        <v>113</v>
      </c>
      <c r="L350" s="148" t="s">
        <v>113</v>
      </c>
      <c r="M350" s="60" t="s">
        <v>113</v>
      </c>
      <c r="N350" s="60" t="s">
        <v>113</v>
      </c>
      <c r="O350" s="60" t="s">
        <v>113</v>
      </c>
      <c r="P350" s="60" t="s">
        <v>113</v>
      </c>
      <c r="Q350" s="59" t="s">
        <v>113</v>
      </c>
      <c r="R350" s="59" t="s">
        <v>113</v>
      </c>
      <c r="S350" s="60" t="s">
        <v>113</v>
      </c>
      <c r="T350" s="60" t="s">
        <v>113</v>
      </c>
      <c r="U350" s="60" t="s">
        <v>113</v>
      </c>
      <c r="V350" s="154" t="str">
        <f t="shared" ref="V350:V351" si="175">IF(ISERR(Q350*($V$2/30)^2),"",(Q350*($V$2/30)^2))</f>
        <v/>
      </c>
      <c r="W350" s="155" t="str">
        <f t="shared" ref="W350:W351" si="176">IF(ISERR(((V350/453.59)*$V$2/375)*746),"",(((V350/453.59)*$V$2/375)*746))</f>
        <v/>
      </c>
      <c r="X350" s="60" t="s">
        <v>113</v>
      </c>
      <c r="Y350" s="60" t="s">
        <v>113</v>
      </c>
      <c r="Z350" s="18" t="s">
        <v>113</v>
      </c>
      <c r="AA350" s="17" t="s">
        <v>113</v>
      </c>
      <c r="AB350" s="17"/>
      <c r="AC350" s="60" t="str">
        <f t="shared" si="134"/>
        <v/>
      </c>
    </row>
    <row r="351" spans="1:29" ht="13.5" thickBot="1" x14ac:dyDescent="0.25">
      <c r="A351" s="149" t="s">
        <v>114</v>
      </c>
      <c r="B351" s="50" t="s">
        <v>111</v>
      </c>
      <c r="C351" s="27">
        <v>0</v>
      </c>
      <c r="D351" s="36"/>
      <c r="E351" s="32">
        <v>2</v>
      </c>
      <c r="F351" s="60" t="s">
        <v>113</v>
      </c>
      <c r="G351" s="60" t="s">
        <v>113</v>
      </c>
      <c r="H351" s="60" t="s">
        <v>113</v>
      </c>
      <c r="I351" s="60" t="s">
        <v>113</v>
      </c>
      <c r="J351" s="148" t="s">
        <v>113</v>
      </c>
      <c r="K351" s="148" t="s">
        <v>113</v>
      </c>
      <c r="L351" s="148" t="s">
        <v>113</v>
      </c>
      <c r="M351" s="60" t="s">
        <v>113</v>
      </c>
      <c r="N351" s="60" t="s">
        <v>113</v>
      </c>
      <c r="O351" s="60" t="s">
        <v>113</v>
      </c>
      <c r="P351" s="60" t="s">
        <v>113</v>
      </c>
      <c r="Q351" s="59" t="s">
        <v>113</v>
      </c>
      <c r="R351" s="59" t="s">
        <v>113</v>
      </c>
      <c r="S351" s="60" t="s">
        <v>113</v>
      </c>
      <c r="T351" s="60" t="s">
        <v>113</v>
      </c>
      <c r="U351" s="60" t="s">
        <v>113</v>
      </c>
      <c r="V351" s="154" t="str">
        <f t="shared" si="175"/>
        <v/>
      </c>
      <c r="W351" s="155" t="str">
        <f t="shared" si="176"/>
        <v/>
      </c>
      <c r="X351" s="60" t="s">
        <v>113</v>
      </c>
      <c r="Y351" s="60" t="s">
        <v>113</v>
      </c>
      <c r="Z351" s="20" t="s">
        <v>113</v>
      </c>
      <c r="AA351" s="21" t="s">
        <v>113</v>
      </c>
      <c r="AB351" s="21"/>
      <c r="AC351" s="60" t="str">
        <f t="shared" si="134"/>
        <v/>
      </c>
    </row>
    <row r="352" spans="1:29" x14ac:dyDescent="0.2">
      <c r="A352" s="143" t="s">
        <v>114</v>
      </c>
      <c r="B352" s="28" t="s">
        <v>125</v>
      </c>
      <c r="C352" s="144">
        <v>0</v>
      </c>
      <c r="D352" s="145">
        <v>117</v>
      </c>
      <c r="E352" s="146" t="s">
        <v>112</v>
      </c>
      <c r="F352" s="7" t="s">
        <v>113</v>
      </c>
      <c r="G352" s="7" t="s">
        <v>113</v>
      </c>
      <c r="H352" s="7" t="s">
        <v>113</v>
      </c>
      <c r="I352" s="7" t="s">
        <v>113</v>
      </c>
      <c r="J352" s="147" t="s">
        <v>113</v>
      </c>
      <c r="K352" s="147" t="s">
        <v>113</v>
      </c>
      <c r="L352" s="147" t="s">
        <v>113</v>
      </c>
      <c r="M352" s="7" t="s">
        <v>113</v>
      </c>
      <c r="N352" s="7" t="s">
        <v>113</v>
      </c>
      <c r="O352" s="7" t="s">
        <v>113</v>
      </c>
      <c r="P352" s="7" t="s">
        <v>113</v>
      </c>
      <c r="Q352" s="147" t="s">
        <v>113</v>
      </c>
      <c r="R352" s="147" t="s">
        <v>113</v>
      </c>
      <c r="S352" s="7" t="s">
        <v>113</v>
      </c>
      <c r="T352" s="7" t="s">
        <v>113</v>
      </c>
      <c r="U352" s="147" t="s">
        <v>113</v>
      </c>
      <c r="V352" s="147" t="str">
        <f t="shared" ref="V352:W352" si="177">IF(ISERR(AVERAGE(V353:V354)),"",AVERAGE(V353:V354))</f>
        <v/>
      </c>
      <c r="W352" s="147" t="str">
        <f t="shared" si="177"/>
        <v/>
      </c>
      <c r="X352" s="7" t="s">
        <v>113</v>
      </c>
      <c r="Y352" s="7" t="s">
        <v>113</v>
      </c>
      <c r="Z352" s="7" t="s">
        <v>113</v>
      </c>
      <c r="AA352" s="7" t="s">
        <v>113</v>
      </c>
      <c r="AB352" s="12"/>
      <c r="AC352" s="7" t="str">
        <f t="shared" si="134"/>
        <v/>
      </c>
    </row>
    <row r="353" spans="1:29" x14ac:dyDescent="0.2">
      <c r="A353" s="143" t="s">
        <v>114</v>
      </c>
      <c r="B353" s="49" t="s">
        <v>125</v>
      </c>
      <c r="C353" s="26">
        <v>0</v>
      </c>
      <c r="D353" s="35"/>
      <c r="E353" s="31">
        <v>1</v>
      </c>
      <c r="F353" s="60" t="s">
        <v>113</v>
      </c>
      <c r="G353" s="60" t="s">
        <v>113</v>
      </c>
      <c r="H353" s="60" t="s">
        <v>113</v>
      </c>
      <c r="I353" s="60" t="s">
        <v>113</v>
      </c>
      <c r="J353" s="148" t="s">
        <v>113</v>
      </c>
      <c r="K353" s="148" t="s">
        <v>113</v>
      </c>
      <c r="L353" s="148" t="s">
        <v>113</v>
      </c>
      <c r="M353" s="60" t="s">
        <v>113</v>
      </c>
      <c r="N353" s="60" t="s">
        <v>113</v>
      </c>
      <c r="O353" s="60" t="s">
        <v>113</v>
      </c>
      <c r="P353" s="60" t="s">
        <v>113</v>
      </c>
      <c r="Q353" s="59" t="s">
        <v>113</v>
      </c>
      <c r="R353" s="59" t="s">
        <v>113</v>
      </c>
      <c r="S353" s="60" t="s">
        <v>113</v>
      </c>
      <c r="T353" s="60" t="s">
        <v>113</v>
      </c>
      <c r="U353" s="60" t="s">
        <v>113</v>
      </c>
      <c r="V353" s="154" t="str">
        <f t="shared" ref="V353:V354" si="178">IF(ISERR(Q353*($V$2/30)^2),"",(Q353*($V$2/30)^2))</f>
        <v/>
      </c>
      <c r="W353" s="155" t="str">
        <f t="shared" ref="W353:W354" si="179">IF(ISERR(((V353/453.59)*$V$2/375)*746),"",(((V353/453.59)*$V$2/375)*746))</f>
        <v/>
      </c>
      <c r="X353" s="60" t="s">
        <v>113</v>
      </c>
      <c r="Y353" s="60" t="s">
        <v>113</v>
      </c>
      <c r="Z353" s="18" t="s">
        <v>113</v>
      </c>
      <c r="AA353" s="17" t="s">
        <v>113</v>
      </c>
      <c r="AB353" s="17"/>
      <c r="AC353" s="60" t="str">
        <f t="shared" si="134"/>
        <v/>
      </c>
    </row>
    <row r="354" spans="1:29" ht="13.5" thickBot="1" x14ac:dyDescent="0.25">
      <c r="A354" s="149" t="s">
        <v>114</v>
      </c>
      <c r="B354" s="50" t="s">
        <v>125</v>
      </c>
      <c r="C354" s="27">
        <v>0</v>
      </c>
      <c r="D354" s="36"/>
      <c r="E354" s="32">
        <v>2</v>
      </c>
      <c r="F354" s="60" t="s">
        <v>113</v>
      </c>
      <c r="G354" s="60" t="s">
        <v>113</v>
      </c>
      <c r="H354" s="60" t="s">
        <v>113</v>
      </c>
      <c r="I354" s="60" t="s">
        <v>113</v>
      </c>
      <c r="J354" s="148" t="s">
        <v>113</v>
      </c>
      <c r="K354" s="148" t="s">
        <v>113</v>
      </c>
      <c r="L354" s="148" t="s">
        <v>113</v>
      </c>
      <c r="M354" s="60" t="s">
        <v>113</v>
      </c>
      <c r="N354" s="60" t="s">
        <v>113</v>
      </c>
      <c r="O354" s="60" t="s">
        <v>113</v>
      </c>
      <c r="P354" s="60" t="s">
        <v>113</v>
      </c>
      <c r="Q354" s="59" t="s">
        <v>113</v>
      </c>
      <c r="R354" s="59" t="s">
        <v>113</v>
      </c>
      <c r="S354" s="60" t="s">
        <v>113</v>
      </c>
      <c r="T354" s="60" t="s">
        <v>113</v>
      </c>
      <c r="U354" s="60" t="s">
        <v>113</v>
      </c>
      <c r="V354" s="154" t="str">
        <f t="shared" si="178"/>
        <v/>
      </c>
      <c r="W354" s="155" t="str">
        <f t="shared" si="179"/>
        <v/>
      </c>
      <c r="X354" s="60" t="s">
        <v>113</v>
      </c>
      <c r="Y354" s="60" t="s">
        <v>113</v>
      </c>
      <c r="Z354" s="20" t="s">
        <v>113</v>
      </c>
      <c r="AA354" s="21" t="s">
        <v>113</v>
      </c>
      <c r="AB354" s="21"/>
      <c r="AC354" s="60" t="str">
        <f t="shared" si="134"/>
        <v/>
      </c>
    </row>
    <row r="355" spans="1:29" x14ac:dyDescent="0.2">
      <c r="A355" s="143" t="s">
        <v>114</v>
      </c>
      <c r="B355" s="28" t="s">
        <v>111</v>
      </c>
      <c r="C355" s="144">
        <v>0</v>
      </c>
      <c r="D355" s="145">
        <v>118</v>
      </c>
      <c r="E355" s="146" t="s">
        <v>112</v>
      </c>
      <c r="F355" s="7" t="s">
        <v>113</v>
      </c>
      <c r="G355" s="7" t="s">
        <v>113</v>
      </c>
      <c r="H355" s="7" t="s">
        <v>113</v>
      </c>
      <c r="I355" s="7" t="s">
        <v>113</v>
      </c>
      <c r="J355" s="147" t="s">
        <v>113</v>
      </c>
      <c r="K355" s="147" t="s">
        <v>113</v>
      </c>
      <c r="L355" s="147" t="s">
        <v>113</v>
      </c>
      <c r="M355" s="7" t="s">
        <v>113</v>
      </c>
      <c r="N355" s="7" t="s">
        <v>113</v>
      </c>
      <c r="O355" s="7" t="s">
        <v>113</v>
      </c>
      <c r="P355" s="7" t="s">
        <v>113</v>
      </c>
      <c r="Q355" s="147" t="s">
        <v>113</v>
      </c>
      <c r="R355" s="147" t="s">
        <v>113</v>
      </c>
      <c r="S355" s="7" t="s">
        <v>113</v>
      </c>
      <c r="T355" s="7" t="s">
        <v>113</v>
      </c>
      <c r="U355" s="147" t="s">
        <v>113</v>
      </c>
      <c r="V355" s="147" t="str">
        <f t="shared" ref="V355:W355" si="180">IF(ISERR(AVERAGE(V356:V357)),"",AVERAGE(V356:V357))</f>
        <v/>
      </c>
      <c r="W355" s="147" t="str">
        <f t="shared" si="180"/>
        <v/>
      </c>
      <c r="X355" s="7" t="s">
        <v>113</v>
      </c>
      <c r="Y355" s="7" t="s">
        <v>113</v>
      </c>
      <c r="Z355" s="7" t="s">
        <v>113</v>
      </c>
      <c r="AA355" s="7" t="s">
        <v>113</v>
      </c>
      <c r="AB355" s="12"/>
      <c r="AC355" s="7" t="str">
        <f t="shared" si="134"/>
        <v/>
      </c>
    </row>
    <row r="356" spans="1:29" x14ac:dyDescent="0.2">
      <c r="A356" s="143" t="s">
        <v>114</v>
      </c>
      <c r="B356" s="49" t="s">
        <v>111</v>
      </c>
      <c r="C356" s="26">
        <v>0</v>
      </c>
      <c r="D356" s="35"/>
      <c r="E356" s="31">
        <v>1</v>
      </c>
      <c r="F356" s="60" t="s">
        <v>113</v>
      </c>
      <c r="G356" s="60" t="s">
        <v>113</v>
      </c>
      <c r="H356" s="60" t="s">
        <v>113</v>
      </c>
      <c r="I356" s="60" t="s">
        <v>113</v>
      </c>
      <c r="J356" s="148" t="s">
        <v>113</v>
      </c>
      <c r="K356" s="148" t="s">
        <v>113</v>
      </c>
      <c r="L356" s="148" t="s">
        <v>113</v>
      </c>
      <c r="M356" s="60" t="s">
        <v>113</v>
      </c>
      <c r="N356" s="60" t="s">
        <v>113</v>
      </c>
      <c r="O356" s="60" t="s">
        <v>113</v>
      </c>
      <c r="P356" s="60" t="s">
        <v>113</v>
      </c>
      <c r="Q356" s="59" t="s">
        <v>113</v>
      </c>
      <c r="R356" s="59" t="s">
        <v>113</v>
      </c>
      <c r="S356" s="60" t="s">
        <v>113</v>
      </c>
      <c r="T356" s="60" t="s">
        <v>113</v>
      </c>
      <c r="U356" s="60" t="s">
        <v>113</v>
      </c>
      <c r="V356" s="154" t="str">
        <f t="shared" ref="V356:V357" si="181">IF(ISERR(Q356*($V$2/30)^2),"",(Q356*($V$2/30)^2))</f>
        <v/>
      </c>
      <c r="W356" s="155" t="str">
        <f t="shared" ref="W356:W357" si="182">IF(ISERR(((V356/453.59)*$V$2/375)*746),"",(((V356/453.59)*$V$2/375)*746))</f>
        <v/>
      </c>
      <c r="X356" s="60" t="s">
        <v>113</v>
      </c>
      <c r="Y356" s="60" t="s">
        <v>113</v>
      </c>
      <c r="Z356" s="18" t="s">
        <v>113</v>
      </c>
      <c r="AA356" s="17" t="s">
        <v>113</v>
      </c>
      <c r="AB356" s="17"/>
      <c r="AC356" s="60" t="str">
        <f t="shared" si="134"/>
        <v/>
      </c>
    </row>
    <row r="357" spans="1:29" ht="13.5" thickBot="1" x14ac:dyDescent="0.25">
      <c r="A357" s="149" t="s">
        <v>114</v>
      </c>
      <c r="B357" s="50" t="s">
        <v>111</v>
      </c>
      <c r="C357" s="27">
        <v>0</v>
      </c>
      <c r="D357" s="36"/>
      <c r="E357" s="32">
        <v>2</v>
      </c>
      <c r="F357" s="60" t="s">
        <v>113</v>
      </c>
      <c r="G357" s="60" t="s">
        <v>113</v>
      </c>
      <c r="H357" s="60" t="s">
        <v>113</v>
      </c>
      <c r="I357" s="60" t="s">
        <v>113</v>
      </c>
      <c r="J357" s="148" t="s">
        <v>113</v>
      </c>
      <c r="K357" s="148" t="s">
        <v>113</v>
      </c>
      <c r="L357" s="148" t="s">
        <v>113</v>
      </c>
      <c r="M357" s="60" t="s">
        <v>113</v>
      </c>
      <c r="N357" s="60" t="s">
        <v>113</v>
      </c>
      <c r="O357" s="60" t="s">
        <v>113</v>
      </c>
      <c r="P357" s="60" t="s">
        <v>113</v>
      </c>
      <c r="Q357" s="59" t="s">
        <v>113</v>
      </c>
      <c r="R357" s="59" t="s">
        <v>113</v>
      </c>
      <c r="S357" s="60" t="s">
        <v>113</v>
      </c>
      <c r="T357" s="60" t="s">
        <v>113</v>
      </c>
      <c r="U357" s="60" t="s">
        <v>113</v>
      </c>
      <c r="V357" s="154" t="str">
        <f t="shared" si="181"/>
        <v/>
      </c>
      <c r="W357" s="155" t="str">
        <f t="shared" si="182"/>
        <v/>
      </c>
      <c r="X357" s="60" t="s">
        <v>113</v>
      </c>
      <c r="Y357" s="60" t="s">
        <v>113</v>
      </c>
      <c r="Z357" s="20" t="s">
        <v>113</v>
      </c>
      <c r="AA357" s="21" t="s">
        <v>113</v>
      </c>
      <c r="AB357" s="21"/>
      <c r="AC357" s="60" t="str">
        <f t="shared" si="134"/>
        <v/>
      </c>
    </row>
    <row r="358" spans="1:29" x14ac:dyDescent="0.2">
      <c r="A358" s="143" t="s">
        <v>114</v>
      </c>
      <c r="B358" s="28" t="s">
        <v>125</v>
      </c>
      <c r="C358" s="144">
        <v>0</v>
      </c>
      <c r="D358" s="145">
        <v>119</v>
      </c>
      <c r="E358" s="146" t="s">
        <v>112</v>
      </c>
      <c r="F358" s="7" t="s">
        <v>113</v>
      </c>
      <c r="G358" s="7" t="s">
        <v>113</v>
      </c>
      <c r="H358" s="7" t="s">
        <v>113</v>
      </c>
      <c r="I358" s="7" t="s">
        <v>113</v>
      </c>
      <c r="J358" s="147" t="s">
        <v>113</v>
      </c>
      <c r="K358" s="147" t="s">
        <v>113</v>
      </c>
      <c r="L358" s="147" t="s">
        <v>113</v>
      </c>
      <c r="M358" s="7" t="s">
        <v>113</v>
      </c>
      <c r="N358" s="7" t="s">
        <v>113</v>
      </c>
      <c r="O358" s="7" t="s">
        <v>113</v>
      </c>
      <c r="P358" s="7" t="s">
        <v>113</v>
      </c>
      <c r="Q358" s="147" t="s">
        <v>113</v>
      </c>
      <c r="R358" s="147" t="s">
        <v>113</v>
      </c>
      <c r="S358" s="7" t="s">
        <v>113</v>
      </c>
      <c r="T358" s="7" t="s">
        <v>113</v>
      </c>
      <c r="U358" s="147" t="s">
        <v>113</v>
      </c>
      <c r="V358" s="147" t="str">
        <f t="shared" ref="V358:W358" si="183">IF(ISERR(AVERAGE(V359:V360)),"",AVERAGE(V359:V360))</f>
        <v/>
      </c>
      <c r="W358" s="147" t="str">
        <f t="shared" si="183"/>
        <v/>
      </c>
      <c r="X358" s="7" t="s">
        <v>113</v>
      </c>
      <c r="Y358" s="7" t="s">
        <v>113</v>
      </c>
      <c r="Z358" s="7" t="s">
        <v>113</v>
      </c>
      <c r="AA358" s="7" t="s">
        <v>113</v>
      </c>
      <c r="AB358" s="12"/>
      <c r="AC358" s="7" t="str">
        <f t="shared" si="134"/>
        <v/>
      </c>
    </row>
    <row r="359" spans="1:29" x14ac:dyDescent="0.2">
      <c r="A359" s="143" t="s">
        <v>114</v>
      </c>
      <c r="B359" s="49" t="s">
        <v>125</v>
      </c>
      <c r="C359" s="26">
        <v>0</v>
      </c>
      <c r="D359" s="35"/>
      <c r="E359" s="31">
        <v>1</v>
      </c>
      <c r="F359" s="60" t="s">
        <v>113</v>
      </c>
      <c r="G359" s="60" t="s">
        <v>113</v>
      </c>
      <c r="H359" s="60" t="s">
        <v>113</v>
      </c>
      <c r="I359" s="60" t="s">
        <v>113</v>
      </c>
      <c r="J359" s="148" t="s">
        <v>113</v>
      </c>
      <c r="K359" s="148" t="s">
        <v>113</v>
      </c>
      <c r="L359" s="148" t="s">
        <v>113</v>
      </c>
      <c r="M359" s="60" t="s">
        <v>113</v>
      </c>
      <c r="N359" s="60" t="s">
        <v>113</v>
      </c>
      <c r="O359" s="60" t="s">
        <v>113</v>
      </c>
      <c r="P359" s="60" t="s">
        <v>113</v>
      </c>
      <c r="Q359" s="59" t="s">
        <v>113</v>
      </c>
      <c r="R359" s="59" t="s">
        <v>113</v>
      </c>
      <c r="S359" s="60" t="s">
        <v>113</v>
      </c>
      <c r="T359" s="60" t="s">
        <v>113</v>
      </c>
      <c r="U359" s="60" t="s">
        <v>113</v>
      </c>
      <c r="V359" s="154" t="str">
        <f t="shared" ref="V359:V360" si="184">IF(ISERR(Q359*($V$2/30)^2),"",(Q359*($V$2/30)^2))</f>
        <v/>
      </c>
      <c r="W359" s="155" t="str">
        <f t="shared" ref="W359:W360" si="185">IF(ISERR(((V359/453.59)*$V$2/375)*746),"",(((V359/453.59)*$V$2/375)*746))</f>
        <v/>
      </c>
      <c r="X359" s="60" t="s">
        <v>113</v>
      </c>
      <c r="Y359" s="60" t="s">
        <v>113</v>
      </c>
      <c r="Z359" s="18" t="s">
        <v>113</v>
      </c>
      <c r="AA359" s="17" t="s">
        <v>113</v>
      </c>
      <c r="AB359" s="17"/>
      <c r="AC359" s="60" t="str">
        <f t="shared" si="134"/>
        <v/>
      </c>
    </row>
    <row r="360" spans="1:29" ht="13.5" thickBot="1" x14ac:dyDescent="0.25">
      <c r="A360" s="149" t="s">
        <v>114</v>
      </c>
      <c r="B360" s="50" t="s">
        <v>125</v>
      </c>
      <c r="C360" s="27">
        <v>0</v>
      </c>
      <c r="D360" s="36"/>
      <c r="E360" s="32">
        <v>2</v>
      </c>
      <c r="F360" s="60" t="s">
        <v>113</v>
      </c>
      <c r="G360" s="60" t="s">
        <v>113</v>
      </c>
      <c r="H360" s="60" t="s">
        <v>113</v>
      </c>
      <c r="I360" s="60" t="s">
        <v>113</v>
      </c>
      <c r="J360" s="148" t="s">
        <v>113</v>
      </c>
      <c r="K360" s="148" t="s">
        <v>113</v>
      </c>
      <c r="L360" s="148" t="s">
        <v>113</v>
      </c>
      <c r="M360" s="60" t="s">
        <v>113</v>
      </c>
      <c r="N360" s="60" t="s">
        <v>113</v>
      </c>
      <c r="O360" s="60" t="s">
        <v>113</v>
      </c>
      <c r="P360" s="60" t="s">
        <v>113</v>
      </c>
      <c r="Q360" s="59" t="s">
        <v>113</v>
      </c>
      <c r="R360" s="59" t="s">
        <v>113</v>
      </c>
      <c r="S360" s="60" t="s">
        <v>113</v>
      </c>
      <c r="T360" s="60" t="s">
        <v>113</v>
      </c>
      <c r="U360" s="60" t="s">
        <v>113</v>
      </c>
      <c r="V360" s="154" t="str">
        <f t="shared" si="184"/>
        <v/>
      </c>
      <c r="W360" s="155" t="str">
        <f t="shared" si="185"/>
        <v/>
      </c>
      <c r="X360" s="60" t="s">
        <v>113</v>
      </c>
      <c r="Y360" s="60" t="s">
        <v>113</v>
      </c>
      <c r="Z360" s="20" t="s">
        <v>113</v>
      </c>
      <c r="AA360" s="21" t="s">
        <v>113</v>
      </c>
      <c r="AB360" s="21"/>
      <c r="AC360" s="60" t="str">
        <f t="shared" si="134"/>
        <v/>
      </c>
    </row>
    <row r="361" spans="1:29" x14ac:dyDescent="0.2">
      <c r="A361" s="143" t="s">
        <v>114</v>
      </c>
      <c r="B361" s="28" t="s">
        <v>111</v>
      </c>
      <c r="C361" s="144">
        <v>0</v>
      </c>
      <c r="D361" s="145">
        <v>120</v>
      </c>
      <c r="E361" s="146" t="s">
        <v>112</v>
      </c>
      <c r="F361" s="7" t="s">
        <v>113</v>
      </c>
      <c r="G361" s="7" t="s">
        <v>113</v>
      </c>
      <c r="H361" s="7" t="s">
        <v>113</v>
      </c>
      <c r="I361" s="7" t="s">
        <v>113</v>
      </c>
      <c r="J361" s="147" t="s">
        <v>113</v>
      </c>
      <c r="K361" s="147" t="s">
        <v>113</v>
      </c>
      <c r="L361" s="147" t="s">
        <v>113</v>
      </c>
      <c r="M361" s="7" t="s">
        <v>113</v>
      </c>
      <c r="N361" s="7" t="s">
        <v>113</v>
      </c>
      <c r="O361" s="7" t="s">
        <v>113</v>
      </c>
      <c r="P361" s="7" t="s">
        <v>113</v>
      </c>
      <c r="Q361" s="147" t="s">
        <v>113</v>
      </c>
      <c r="R361" s="147" t="s">
        <v>113</v>
      </c>
      <c r="S361" s="7" t="s">
        <v>113</v>
      </c>
      <c r="T361" s="7" t="s">
        <v>113</v>
      </c>
      <c r="U361" s="147" t="s">
        <v>113</v>
      </c>
      <c r="V361" s="147" t="str">
        <f t="shared" ref="V361:W361" si="186">IF(ISERR(AVERAGE(V362:V363)),"",AVERAGE(V362:V363))</f>
        <v/>
      </c>
      <c r="W361" s="147" t="str">
        <f t="shared" si="186"/>
        <v/>
      </c>
      <c r="X361" s="7" t="s">
        <v>113</v>
      </c>
      <c r="Y361" s="7" t="s">
        <v>113</v>
      </c>
      <c r="Z361" s="7" t="s">
        <v>113</v>
      </c>
      <c r="AA361" s="7" t="s">
        <v>113</v>
      </c>
      <c r="AB361" s="12"/>
      <c r="AC361" s="7" t="str">
        <f t="shared" si="134"/>
        <v/>
      </c>
    </row>
    <row r="362" spans="1:29" x14ac:dyDescent="0.2">
      <c r="A362" s="143" t="s">
        <v>114</v>
      </c>
      <c r="B362" s="49" t="s">
        <v>111</v>
      </c>
      <c r="C362" s="26">
        <v>0</v>
      </c>
      <c r="D362" s="35"/>
      <c r="E362" s="31">
        <v>1</v>
      </c>
      <c r="F362" s="60" t="s">
        <v>113</v>
      </c>
      <c r="G362" s="60" t="s">
        <v>113</v>
      </c>
      <c r="H362" s="60" t="s">
        <v>113</v>
      </c>
      <c r="I362" s="60" t="s">
        <v>113</v>
      </c>
      <c r="J362" s="148" t="s">
        <v>113</v>
      </c>
      <c r="K362" s="148" t="s">
        <v>113</v>
      </c>
      <c r="L362" s="148" t="s">
        <v>113</v>
      </c>
      <c r="M362" s="60" t="s">
        <v>113</v>
      </c>
      <c r="N362" s="60" t="s">
        <v>113</v>
      </c>
      <c r="O362" s="60" t="s">
        <v>113</v>
      </c>
      <c r="P362" s="60" t="s">
        <v>113</v>
      </c>
      <c r="Q362" s="59" t="s">
        <v>113</v>
      </c>
      <c r="R362" s="59" t="s">
        <v>113</v>
      </c>
      <c r="S362" s="60" t="s">
        <v>113</v>
      </c>
      <c r="T362" s="60" t="s">
        <v>113</v>
      </c>
      <c r="U362" s="60" t="s">
        <v>113</v>
      </c>
      <c r="V362" s="154" t="str">
        <f t="shared" ref="V362:V363" si="187">IF(ISERR(Q362*($V$2/30)^2),"",(Q362*($V$2/30)^2))</f>
        <v/>
      </c>
      <c r="W362" s="155" t="str">
        <f t="shared" ref="W362:W363" si="188">IF(ISERR(((V362/453.59)*$V$2/375)*746),"",(((V362/453.59)*$V$2/375)*746))</f>
        <v/>
      </c>
      <c r="X362" s="60" t="s">
        <v>113</v>
      </c>
      <c r="Y362" s="60" t="s">
        <v>113</v>
      </c>
      <c r="Z362" s="18" t="s">
        <v>113</v>
      </c>
      <c r="AA362" s="17" t="s">
        <v>113</v>
      </c>
      <c r="AB362" s="17"/>
      <c r="AC362" s="60" t="str">
        <f t="shared" si="134"/>
        <v/>
      </c>
    </row>
    <row r="363" spans="1:29" ht="13.5" thickBot="1" x14ac:dyDescent="0.25">
      <c r="A363" s="149" t="s">
        <v>114</v>
      </c>
      <c r="B363" s="50" t="s">
        <v>111</v>
      </c>
      <c r="C363" s="27">
        <v>0</v>
      </c>
      <c r="D363" s="36"/>
      <c r="E363" s="32">
        <v>2</v>
      </c>
      <c r="F363" s="32" t="s">
        <v>113</v>
      </c>
      <c r="G363" s="32" t="s">
        <v>113</v>
      </c>
      <c r="H363" s="32" t="s">
        <v>113</v>
      </c>
      <c r="I363" s="32" t="s">
        <v>113</v>
      </c>
      <c r="J363" s="32" t="s">
        <v>113</v>
      </c>
      <c r="K363" s="32" t="s">
        <v>113</v>
      </c>
      <c r="L363" s="32" t="s">
        <v>113</v>
      </c>
      <c r="M363" s="32" t="s">
        <v>113</v>
      </c>
      <c r="N363" s="32" t="s">
        <v>113</v>
      </c>
      <c r="O363" s="32" t="s">
        <v>113</v>
      </c>
      <c r="P363" s="32" t="s">
        <v>113</v>
      </c>
      <c r="Q363" s="32" t="s">
        <v>113</v>
      </c>
      <c r="R363" s="32" t="s">
        <v>113</v>
      </c>
      <c r="S363" s="32" t="s">
        <v>113</v>
      </c>
      <c r="T363" s="32" t="s">
        <v>113</v>
      </c>
      <c r="U363" s="32" t="s">
        <v>113</v>
      </c>
      <c r="V363" s="156" t="str">
        <f t="shared" si="187"/>
        <v/>
      </c>
      <c r="W363" s="156" t="str">
        <f t="shared" si="188"/>
        <v/>
      </c>
      <c r="X363" s="32" t="s">
        <v>113</v>
      </c>
      <c r="Y363" s="32" t="s">
        <v>113</v>
      </c>
      <c r="Z363" s="32" t="s">
        <v>113</v>
      </c>
      <c r="AA363" s="157" t="s">
        <v>113</v>
      </c>
      <c r="AB363" s="32"/>
      <c r="AC363" s="32" t="str">
        <f t="shared" si="134"/>
        <v/>
      </c>
    </row>
    <row r="364" spans="1:29" x14ac:dyDescent="0.2">
      <c r="Z364" s="33"/>
      <c r="AA364" s="33"/>
      <c r="AB364" s="33"/>
      <c r="AC364" s="33"/>
    </row>
  </sheetData>
  <customSheetViews>
    <customSheetView guid="{713535A1-63D1-469B-A76D-6F7E59A77D5A}" scale="95" hiddenColumns="1">
      <pane xSplit="5" ySplit="3" topLeftCell="F4" activePane="bottomRight" state="frozen"/>
      <selection pane="bottomRight" activeCell="A345" sqref="A345"/>
      <rowBreaks count="1" manualBreakCount="1">
        <brk id="48" max="16383" man="1"/>
      </rowBreaks>
      <colBreaks count="1" manualBreakCount="1">
        <brk id="23" max="1048575" man="1"/>
      </colBreaks>
      <pageMargins left="0.75" right="0.75" top="1" bottom="1" header="0.5" footer="0.5"/>
      <pageSetup scale="43" orientation="portrait" r:id="rId1"/>
      <headerFooter alignWithMargins="0"/>
    </customSheetView>
    <customSheetView guid="{9CC97356-07AB-46FE-A8EE-09110414999D}" scale="95" hiddenColumns="1">
      <pane xSplit="5" ySplit="3" topLeftCell="F4" activePane="bottomRight" state="frozen"/>
      <selection pane="bottomRight" activeCell="A14" sqref="A14"/>
      <rowBreaks count="1" manualBreakCount="1">
        <brk id="48" max="16383" man="1"/>
      </rowBreaks>
      <colBreaks count="1" manualBreakCount="1">
        <brk id="23" max="1048575" man="1"/>
      </colBreaks>
      <pageMargins left="0.75" right="0.75" top="1" bottom="1" header="0.5" footer="0.5"/>
      <pageSetup scale="43" orientation="portrait" r:id="rId2"/>
      <headerFooter alignWithMargins="0"/>
    </customSheetView>
  </customSheetViews>
  <phoneticPr fontId="2" type="noConversion"/>
  <conditionalFormatting sqref="A1">
    <cfRule type="cellIs" dxfId="141" priority="147" stopIfTrue="1" operator="equal">
      <formula>0</formula>
    </cfRule>
  </conditionalFormatting>
  <conditionalFormatting sqref="C5">
    <cfRule type="cellIs" dxfId="140" priority="138" stopIfTrue="1" operator="greaterThan">
      <formula>$C4+0.1</formula>
    </cfRule>
    <cfRule type="cellIs" dxfId="139" priority="139" stopIfTrue="1" operator="lessThan">
      <formula>$C4-0.1</formula>
    </cfRule>
  </conditionalFormatting>
  <conditionalFormatting sqref="C6">
    <cfRule type="cellIs" dxfId="138" priority="140" stopIfTrue="1" operator="greaterThan">
      <formula>$C4+0.1</formula>
    </cfRule>
    <cfRule type="cellIs" dxfId="137" priority="141" stopIfTrue="1" operator="lessThan">
      <formula>$C4-0.1</formula>
    </cfRule>
  </conditionalFormatting>
  <conditionalFormatting sqref="F4">
    <cfRule type="expression" dxfId="136" priority="126" stopIfTrue="1">
      <formula>$C4=20</formula>
    </cfRule>
    <cfRule type="expression" dxfId="135" priority="127" stopIfTrue="1">
      <formula>$C4=15</formula>
    </cfRule>
    <cfRule type="expression" dxfId="134" priority="128" stopIfTrue="1">
      <formula>$C4=10</formula>
    </cfRule>
    <cfRule type="expression" dxfId="133" priority="129" stopIfTrue="1">
      <formula>$C4=-20</formula>
    </cfRule>
    <cfRule type="expression" dxfId="132" priority="130" stopIfTrue="1">
      <formula>$C4=-15</formula>
    </cfRule>
    <cfRule type="expression" dxfId="131" priority="131" stopIfTrue="1">
      <formula>$C4=-10</formula>
    </cfRule>
    <cfRule type="expression" dxfId="130" priority="132" stopIfTrue="1">
      <formula>$C4=7.5</formula>
    </cfRule>
    <cfRule type="expression" dxfId="129" priority="133" stopIfTrue="1">
      <formula>$C4=-7.5</formula>
    </cfRule>
    <cfRule type="expression" dxfId="128" priority="134" stopIfTrue="1">
      <formula>$C4=-5</formula>
    </cfRule>
    <cfRule type="expression" dxfId="127" priority="135" stopIfTrue="1">
      <formula>$C4=5</formula>
    </cfRule>
    <cfRule type="expression" dxfId="126" priority="136" stopIfTrue="1">
      <formula>$C4=-2.5</formula>
    </cfRule>
    <cfRule type="expression" dxfId="125" priority="137" stopIfTrue="1">
      <formula>$C4=2.5</formula>
    </cfRule>
  </conditionalFormatting>
  <conditionalFormatting sqref="G4:AA4">
    <cfRule type="expression" dxfId="124" priority="114" stopIfTrue="1">
      <formula>$C4=20</formula>
    </cfRule>
    <cfRule type="expression" dxfId="123" priority="115" stopIfTrue="1">
      <formula>$C4=15</formula>
    </cfRule>
    <cfRule type="expression" dxfId="122" priority="116" stopIfTrue="1">
      <formula>$C4=10</formula>
    </cfRule>
    <cfRule type="expression" dxfId="121" priority="117" stopIfTrue="1">
      <formula>$C4=-20</formula>
    </cfRule>
    <cfRule type="expression" dxfId="120" priority="118" stopIfTrue="1">
      <formula>$C4=-15</formula>
    </cfRule>
    <cfRule type="expression" dxfId="119" priority="119" stopIfTrue="1">
      <formula>$C4=-10</formula>
    </cfRule>
    <cfRule type="expression" dxfId="118" priority="120" stopIfTrue="1">
      <formula>$C4=7.5</formula>
    </cfRule>
    <cfRule type="expression" dxfId="117" priority="121" stopIfTrue="1">
      <formula>$C4=-7.5</formula>
    </cfRule>
    <cfRule type="expression" dxfId="116" priority="122" stopIfTrue="1">
      <formula>$C4=-5</formula>
    </cfRule>
    <cfRule type="expression" dxfId="115" priority="123" stopIfTrue="1">
      <formula>$C4=5</formula>
    </cfRule>
    <cfRule type="expression" dxfId="114" priority="124" stopIfTrue="1">
      <formula>$C4=-2.5</formula>
    </cfRule>
    <cfRule type="expression" dxfId="113" priority="125" stopIfTrue="1">
      <formula>$C4=2.5</formula>
    </cfRule>
  </conditionalFormatting>
  <conditionalFormatting sqref="C4">
    <cfRule type="expression" dxfId="112" priority="102" stopIfTrue="1">
      <formula>$C4=20</formula>
    </cfRule>
    <cfRule type="expression" dxfId="111" priority="103" stopIfTrue="1">
      <formula>$C4=15</formula>
    </cfRule>
    <cfRule type="expression" dxfId="110" priority="104" stopIfTrue="1">
      <formula>$C4=10</formula>
    </cfRule>
    <cfRule type="expression" dxfId="109" priority="105" stopIfTrue="1">
      <formula>$C4=-20</formula>
    </cfRule>
    <cfRule type="expression" dxfId="108" priority="106" stopIfTrue="1">
      <formula>$C4=-15</formula>
    </cfRule>
    <cfRule type="expression" dxfId="107" priority="107" stopIfTrue="1">
      <formula>$C4=-10</formula>
    </cfRule>
    <cfRule type="expression" dxfId="106" priority="108" stopIfTrue="1">
      <formula>$C4=7.5</formula>
    </cfRule>
    <cfRule type="expression" dxfId="105" priority="109" stopIfTrue="1">
      <formula>$C4=-7.5</formula>
    </cfRule>
    <cfRule type="expression" dxfId="104" priority="110" stopIfTrue="1">
      <formula>$C4=-5</formula>
    </cfRule>
    <cfRule type="expression" dxfId="103" priority="111" stopIfTrue="1">
      <formula>$C4=5</formula>
    </cfRule>
    <cfRule type="expression" dxfId="102" priority="112" stopIfTrue="1">
      <formula>$C4=-2.5</formula>
    </cfRule>
    <cfRule type="expression" dxfId="101" priority="113" stopIfTrue="1">
      <formula>$C4=2.5</formula>
    </cfRule>
  </conditionalFormatting>
  <conditionalFormatting sqref="D4:E4">
    <cfRule type="expression" dxfId="100" priority="90" stopIfTrue="1">
      <formula>$C4=20</formula>
    </cfRule>
    <cfRule type="expression" dxfId="99" priority="91" stopIfTrue="1">
      <formula>$C4=15</formula>
    </cfRule>
    <cfRule type="expression" dxfId="98" priority="92" stopIfTrue="1">
      <formula>$C4=10</formula>
    </cfRule>
    <cfRule type="expression" dxfId="97" priority="93" stopIfTrue="1">
      <formula>$C4=-20</formula>
    </cfRule>
    <cfRule type="expression" dxfId="96" priority="94" stopIfTrue="1">
      <formula>$C4=-15</formula>
    </cfRule>
    <cfRule type="expression" dxfId="95" priority="95" stopIfTrue="1">
      <formula>$C4=-10</formula>
    </cfRule>
    <cfRule type="expression" dxfId="94" priority="96" stopIfTrue="1">
      <formula>$C4=7.5</formula>
    </cfRule>
    <cfRule type="expression" dxfId="93" priority="97" stopIfTrue="1">
      <formula>$C4=-7.5</formula>
    </cfRule>
    <cfRule type="expression" dxfId="92" priority="98" stopIfTrue="1">
      <formula>$C4=-5</formula>
    </cfRule>
    <cfRule type="expression" dxfId="91" priority="99" stopIfTrue="1">
      <formula>$C4=5</formula>
    </cfRule>
    <cfRule type="expression" dxfId="90" priority="100" stopIfTrue="1">
      <formula>$C4=-2.5</formula>
    </cfRule>
    <cfRule type="expression" dxfId="89" priority="101" stopIfTrue="1">
      <formula>$C4=2.5</formula>
    </cfRule>
  </conditionalFormatting>
  <conditionalFormatting sqref="C8 C11 C14 C17 C20 C23 C26 C29 C32 C35 C38 C41 C44 C47 C50 C53 C56 C59 C62 C65 C68 C71 C74 C77 C80 C83 C86 C89 C92 C95 C98 C101 C104 C107 C110 C113 C116 C119 C122 C125 C128 C131 C134 C137 C140 C143 C146 C149 C152 C155 C158 C161 C164 C167 C170 C173 C176 C179 C182 C185 C188 C191 C194 C197 C200 C203 C206 C209 C212 C215 C218 C221 C224 C227 C230 C233 C236 C239 C242 C245 C248 C251 C254 C257 C260 C263 C266 C269 C272 C275 C278 C281 C284 C287 C290 C293 C296 C299 C302 C305 C308 C311 C314 C317 C320 C323 C326 C329 C332 C335 C338 C341 C344 C347 C350 C353 C356 C359 C362">
    <cfRule type="cellIs" dxfId="88" priority="86" stopIfTrue="1" operator="greaterThan">
      <formula>$C7+0.1</formula>
    </cfRule>
    <cfRule type="cellIs" dxfId="87" priority="87" stopIfTrue="1" operator="lessThan">
      <formula>$C7-0.1</formula>
    </cfRule>
  </conditionalFormatting>
  <conditionalFormatting sqref="C9 C12 C15 C18 C21 C24 C27 C30 C33 C36 C39 C42 C45 C48 C51 C54 C57 C60 C63 C66 C69 C72 C75 C78 C81 C84 C87 C90 C93 C96 C99 C102 C105 C108 C111 C114 C117 C120 C123 C126 C129 C132 C135 C138 C141 C144 C147 C150 C153 C156 C159 C162 C165 C168 C171 C174 C177 C180 C183 C186 C189 C192 C195 C198 C201 C204 C207 C210 C213 C216 C219 C222 C225 C228 C231 C234 C237 C240 C243 C246 C249 C252 C255 C258 C261 C264 C267 C270 C273 C276 C279 C282 C285 C288 C291 C294 C297 C300 C303 C306 C309 C312 C315 C318 C321 C324 C327 C330 C333 C336 C339 C342 C345 C348 C351 C354 C357 C360 C363">
    <cfRule type="cellIs" dxfId="86" priority="88" stopIfTrue="1" operator="greaterThan">
      <formula>$C7+0.1</formula>
    </cfRule>
    <cfRule type="cellIs" dxfId="85" priority="89" stopIfTrue="1" operator="lessThan">
      <formula>$C7-0.1</formula>
    </cfRule>
  </conditionalFormatting>
  <conditionalFormatting sqref="F7 F10 F13 F16 F19 F22 F25 F28 F31 F34 F37 F40 F43 F46 F49 F52 F55 F58 F61 F64 F67 F70 F73 F76 F79 F82 F85 F88 F91 F94 F97 F100 F103 F106 F109 F112 F115 F118 F121 F124 F127 F130 F133 F136 F139 F142 F145 F148 F151 F154 F157 F160 F163 F166 F169 F172 F175 F178 F181 F184 F187 F190 F193 F196 F199 F202 F205 F208 F211 F214 F217 F220 F223 F226 F229 F232 F235 F238 F241 F244 F247 F250 F253 F256 F259 F262 F265 F268 F271 F274 F277 F280 F283 F286 F289 F292 F295 F298 F301 F304 F307 F310 F313 F316 F319 F322 F325 F328 F331 F334 F337 F340 F343 F346 F349 F352 F355 F358 F361">
    <cfRule type="expression" dxfId="84" priority="74" stopIfTrue="1">
      <formula>$C7=20</formula>
    </cfRule>
    <cfRule type="expression" dxfId="83" priority="75" stopIfTrue="1">
      <formula>$C7=15</formula>
    </cfRule>
    <cfRule type="expression" dxfId="82" priority="76" stopIfTrue="1">
      <formula>$C7=10</formula>
    </cfRule>
    <cfRule type="expression" dxfId="81" priority="77" stopIfTrue="1">
      <formula>$C7=-20</formula>
    </cfRule>
    <cfRule type="expression" dxfId="80" priority="78" stopIfTrue="1">
      <formula>$C7=-15</formula>
    </cfRule>
    <cfRule type="expression" dxfId="79" priority="79" stopIfTrue="1">
      <formula>$C7=-10</formula>
    </cfRule>
    <cfRule type="expression" dxfId="78" priority="80" stopIfTrue="1">
      <formula>$C7=7.5</formula>
    </cfRule>
    <cfRule type="expression" dxfId="77" priority="81" stopIfTrue="1">
      <formula>$C7=-7.5</formula>
    </cfRule>
    <cfRule type="expression" dxfId="76" priority="82" stopIfTrue="1">
      <formula>$C7=-5</formula>
    </cfRule>
    <cfRule type="expression" dxfId="75" priority="83" stopIfTrue="1">
      <formula>$C7=5</formula>
    </cfRule>
    <cfRule type="expression" dxfId="74" priority="84" stopIfTrue="1">
      <formula>$C7=-2.5</formula>
    </cfRule>
    <cfRule type="expression" dxfId="73" priority="85" stopIfTrue="1">
      <formula>$C7=2.5</formula>
    </cfRule>
  </conditionalFormatting>
  <conditionalFormatting sqref="G7:U7 G10:U10 G13:U13 G16:U16 G19:U19 G22:U22 G25:U25 G28:U28 G31:U31 G34:U34 G37:U37 G40:U40 G43:U43 G46:U46 G49:U49 G52:U52 G55:U55 G58:U58 G61:U61 G64:U64 G67:U67 G70:U70 G73:U73 G76:U76 G79:U79 G82:U82 G85:U85 G88:U88 G91:U91 G94:U94 G97:U97 G100:U100 G103:U103 G106:U106 G109:U109 G112:U112 G115:U115 G118:U118 G121:U121 G124:U124 G127:U127 G130:U130 G133:U133 G136:U136 G139:U139 G142:U142 G145:U145 G148:U148 G151:U151 G154:U154 G157:U157 G160:U160 G163:U163 G166:U166 G169:U169 G172:U172 G175:U175 G178:U178 X178:AA178 X175:AA175 X172:AA172 X169:AA169 X166:AA166 X163:AA163 X160:AA160 X157:AA157 X154:AA154 X151:AA151 X148:AA148 X145:AA145 X142:AA142 X139:AA139 X136:AA136 X133:AA133 X130:AA130 X127:AA127 X124:AA124 X121:AA121 X118:AA118 X115:AA115 X112:AA112 X109:AA109 X106:AA106 X103:AA103 X100:AA100 X97:AA97 X94:AA94 X91:AA91 X88:AA88 X85:AA85 X82:AA82 X79:AA79 X76:AA76 X73:AA73 X70:AA70 X67:AA67 X64:AA64 X61:AA61 X58:AA58 X55:AA55 X52:AA52 X49:AA49 X46:AA46 X43:AA43 X40:AA40 X37:AA37 X34:AA34 X31:AA31 X28:AA28 X25:AA25 X22:AA22 X19:AA19 X16:AA16 X13:AA13 X10:AA10 X7:AA7 G181:U181 G184:U184 G187:U187 G190:U190 G193:U193 G196:U196 G199:U199 G202:U202 G205:U205 G208:U208 G211:U211 G214:U214 G217:U217 G220:U220 G223:U223 G226:U226 G229:U229 G232:U232 G235:U235 G238:U238 G241:U241 G244:U244 G247:U247 G250:U250 G253:U253 G256:U256 G259:U259 G262:U262 G265:U265 G268:U268 G271:U271 G274:U274 G277:U277 G280:U280 G283:U283 G286:U286 G289:U289 G292:U292 G295:U295 G298:U298 G301:U301 G304:U304 G307:U307 G310:U310 G313:U313 G316:U316 G319:U319 G322:U322 G325:U325 G328:U328 G331:U331 G334:U334 G337:U337 G340:U340 G343:U343 G346:U346 G349:U349 G352:U352 G355:U355 G358:U358 G361:U361 X181:AA181 X184:AA184 X187:AA187 X190:AA190 X193:AA193 X196:AA196 X199:AA199 X202:AA202 X205:AA205 X208:AA208 X211:AA211 X214:AA214 X217:AA217 X220:AA220 X223:AA223 X226:AA226 X229:AA229 X232:AA232 X235:AA235 X238:AA238 X241:AA241 X244:AA244 X247:AA247 X250:AA250 X253:AA253 X256:AA256 X259:AA259 X262:AA262 X265:AA265 X268:AA268 X271:AA271 X274:AA274 X277:AA277 X280:AA280 X283:AA283 X286:AA286 X289:AA289 X292:AA292 X295:AA295 X298:AA298 X301:AA301 X304:AA304 X307:AA307 X310:AA310 X313:AA313 X316:AA316 X319:AA319 X322:AA322 X325:AA325 X328:AA328 X331:AA331 X334:AA334 X337:AA337 X340:AA340 X343:AA343 X346:AA346 X349:AA349 X352:AA352 X355:AA355 X358:AA358 X361:AA361">
    <cfRule type="expression" dxfId="72" priority="62" stopIfTrue="1">
      <formula>$C7=20</formula>
    </cfRule>
    <cfRule type="expression" dxfId="71" priority="63" stopIfTrue="1">
      <formula>$C7=15</formula>
    </cfRule>
    <cfRule type="expression" dxfId="70" priority="64" stopIfTrue="1">
      <formula>$C7=10</formula>
    </cfRule>
    <cfRule type="expression" dxfId="69" priority="65" stopIfTrue="1">
      <formula>$C7=-20</formula>
    </cfRule>
    <cfRule type="expression" dxfId="68" priority="66" stopIfTrue="1">
      <formula>$C7=-15</formula>
    </cfRule>
    <cfRule type="expression" dxfId="67" priority="67" stopIfTrue="1">
      <formula>$C7=-10</formula>
    </cfRule>
    <cfRule type="expression" dxfId="66" priority="68" stopIfTrue="1">
      <formula>$C7=7.5</formula>
    </cfRule>
    <cfRule type="expression" dxfId="65" priority="69" stopIfTrue="1">
      <formula>$C7=-7.5</formula>
    </cfRule>
    <cfRule type="expression" dxfId="64" priority="70" stopIfTrue="1">
      <formula>$C7=-5</formula>
    </cfRule>
    <cfRule type="expression" dxfId="63" priority="71" stopIfTrue="1">
      <formula>$C7=5</formula>
    </cfRule>
    <cfRule type="expression" dxfId="62" priority="72" stopIfTrue="1">
      <formula>$C7=-2.5</formula>
    </cfRule>
    <cfRule type="expression" dxfId="61" priority="73" stopIfTrue="1">
      <formula>$C7=2.5</formula>
    </cfRule>
  </conditionalFormatting>
  <conditionalFormatting sqref="C7 C10 C13 C16 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fRule type="expression" dxfId="60" priority="50" stopIfTrue="1">
      <formula>$C7=20</formula>
    </cfRule>
    <cfRule type="expression" dxfId="59" priority="51" stopIfTrue="1">
      <formula>$C7=15</formula>
    </cfRule>
    <cfRule type="expression" dxfId="58" priority="52" stopIfTrue="1">
      <formula>$C7=10</formula>
    </cfRule>
    <cfRule type="expression" dxfId="57" priority="53" stopIfTrue="1">
      <formula>$C7=-20</formula>
    </cfRule>
    <cfRule type="expression" dxfId="56" priority="54" stopIfTrue="1">
      <formula>$C7=-15</formula>
    </cfRule>
    <cfRule type="expression" dxfId="55" priority="55" stopIfTrue="1">
      <formula>$C7=-10</formula>
    </cfRule>
    <cfRule type="expression" dxfId="54" priority="56" stopIfTrue="1">
      <formula>$C7=7.5</formula>
    </cfRule>
    <cfRule type="expression" dxfId="53" priority="57" stopIfTrue="1">
      <formula>$C7=-7.5</formula>
    </cfRule>
    <cfRule type="expression" dxfId="52" priority="58" stopIfTrue="1">
      <formula>$C7=-5</formula>
    </cfRule>
    <cfRule type="expression" dxfId="51" priority="59" stopIfTrue="1">
      <formula>$C7=5</formula>
    </cfRule>
    <cfRule type="expression" dxfId="50" priority="60" stopIfTrue="1">
      <formula>$C7=-2.5</formula>
    </cfRule>
    <cfRule type="expression" dxfId="49" priority="61" stopIfTrue="1">
      <formula>$C7=2.5</formula>
    </cfRule>
  </conditionalFormatting>
  <conditionalFormatting sqref="D7:E7 D10:E10 D13:E13 D16:E16 D19:E19 D22:E22 D25:E25 D28:E28 D31:E31 D34:E34 D37:E37 D40:E40 D43:E43 D46:E46 D49:E49 D52:E52 D55:E55 D58:E58 D61:E61 D64:E64 D67:E67 D70:E70 D73:E73 D76:E76 D79:E79 D82:E82 D85:E85 D88:E88 D91:E91 D94:E94 D97:E97 D100:E100 D103:E103 D106:E106 D109:E109 D112:E112 D115:E115 D118:E118 D121:E121 D124:E124 D127:E127 D130:E130 D133:E133 D136:E136 D139:E139 D142:E142 D145:E145 D148:E148 D151:E151 D154:E154 D157:E157 D160:E160 D163:E163 D166:E166 D169:E169 D172:E172 D175:E175 D178:E178 D181:E181 D184:E184 D187:E187 D190:E190 D193:E193 D196:E196 D199:E199 D202:E202 D205:E205 D208:E208 D211:E211 D214:E214 D217:E217 D220:E220 D223:E223 D226:E226 D229:E229 D232:E232 D235:E235 D238:E238 D241:E241 D244:E244 D247:E247 D250:E250 D253:E253 D256:E256 D259:E259 D262:E262 D265:E265 D268:E268 D271:E271 D274:E274 D277:E277 D280:E280 D283:E283 D286:E286 D289:E289 D292:E292 D295:E295 D298:E298 D301:E301 D304:E304 D307:E307 D310:E310 D313:E313 D316:E316 D319:E319 D322:E322 D325:E325 D328:E328 D331:E331 D334:E334 D337:E337 D340:E340 D343:E343 D346:E346 D349:E349 D352:E352 D355:E355 D358:E358 D361:E361">
    <cfRule type="expression" dxfId="48" priority="38" stopIfTrue="1">
      <formula>$C7=20</formula>
    </cfRule>
    <cfRule type="expression" dxfId="47" priority="39" stopIfTrue="1">
      <formula>$C7=15</formula>
    </cfRule>
    <cfRule type="expression" dxfId="46" priority="40" stopIfTrue="1">
      <formula>$C7=10</formula>
    </cfRule>
    <cfRule type="expression" dxfId="45" priority="41" stopIfTrue="1">
      <formula>$C7=-20</formula>
    </cfRule>
    <cfRule type="expression" dxfId="44" priority="42" stopIfTrue="1">
      <formula>$C7=-15</formula>
    </cfRule>
    <cfRule type="expression" dxfId="43" priority="43" stopIfTrue="1">
      <formula>$C7=-10</formula>
    </cfRule>
    <cfRule type="expression" dxfId="42" priority="44" stopIfTrue="1">
      <formula>$C7=7.5</formula>
    </cfRule>
    <cfRule type="expression" dxfId="41" priority="45" stopIfTrue="1">
      <formula>$C7=-7.5</formula>
    </cfRule>
    <cfRule type="expression" dxfId="40" priority="46" stopIfTrue="1">
      <formula>$C7=-5</formula>
    </cfRule>
    <cfRule type="expression" dxfId="39" priority="47" stopIfTrue="1">
      <formula>$C7=5</formula>
    </cfRule>
    <cfRule type="expression" dxfId="38" priority="48" stopIfTrue="1">
      <formula>$C7=-2.5</formula>
    </cfRule>
    <cfRule type="expression" dxfId="37" priority="49" stopIfTrue="1">
      <formula>$C7=2.5</formula>
    </cfRule>
  </conditionalFormatting>
  <conditionalFormatting sqref="AC4">
    <cfRule type="expression" dxfId="36" priority="26" stopIfTrue="1">
      <formula>$C4=20</formula>
    </cfRule>
    <cfRule type="expression" dxfId="35" priority="27" stopIfTrue="1">
      <formula>$C4=15</formula>
    </cfRule>
    <cfRule type="expression" dxfId="34" priority="28" stopIfTrue="1">
      <formula>$C4=10</formula>
    </cfRule>
    <cfRule type="expression" dxfId="33" priority="29" stopIfTrue="1">
      <formula>$C4=-20</formula>
    </cfRule>
    <cfRule type="expression" dxfId="32" priority="30" stopIfTrue="1">
      <formula>$C4=-15</formula>
    </cfRule>
    <cfRule type="expression" dxfId="31" priority="31" stopIfTrue="1">
      <formula>$C4=-10</formula>
    </cfRule>
    <cfRule type="expression" dxfId="30" priority="32" stopIfTrue="1">
      <formula>$C4=7.5</formula>
    </cfRule>
    <cfRule type="expression" dxfId="29" priority="33" stopIfTrue="1">
      <formula>$C4=-7.5</formula>
    </cfRule>
    <cfRule type="expression" dxfId="28" priority="34" stopIfTrue="1">
      <formula>$C4=-5</formula>
    </cfRule>
    <cfRule type="expression" dxfId="27" priority="35" stopIfTrue="1">
      <formula>$C4=5</formula>
    </cfRule>
    <cfRule type="expression" dxfId="26" priority="36" stopIfTrue="1">
      <formula>$C4=-2.5</formula>
    </cfRule>
    <cfRule type="expression" dxfId="25" priority="37" stopIfTrue="1">
      <formula>$C4=2.5</formula>
    </cfRule>
  </conditionalFormatting>
  <conditionalFormatting sqref="AC7 AC10 AC13 AC16 AC19 AC22 AC25 AC28 AC31 AC34 AC37 AC40 AC43 AC46 AC49 AC52 AC55 AC58 AC61 AC64 AC67 AC70 AC73 AC76 AC79 AC82 AC85 AC88 AC91 AC94 AC97 AC100 AC103 AC106 AC109 AC112 AC115 AC118 AC121 AC124 AC127 AC130 AC133 AC136 AC139 AC142 AC145 AC148 AC151 AC154 AC157 AC160 AC163 AC166 AC169 AC172 AC175 AC178 AC181 AC184 AC187 AC190 AC193 AC196 AC199 AC202 AC205 AC208 AC211 AC214 AC217 AC220 AC223 AC226 AC229 AC232 AC235 AC238 AC241 AC244 AC247 AC250 AC253 AC256 AC259 AC262 AC265 AC268 AC271 AC274 AC277 AC280 AC283 AC286 AC289 AC292 AC295 AC298 AC301 AC304 AC307 AC310 AC313 AC316 AC319 AC322 AC325 AC328 AC331 AC334 AC337 AC340 AC343 AC346 AC349 AC352 AC355 AC358 AC361">
    <cfRule type="expression" dxfId="24" priority="14" stopIfTrue="1">
      <formula>$C7=20</formula>
    </cfRule>
    <cfRule type="expression" dxfId="23" priority="15" stopIfTrue="1">
      <formula>$C7=15</formula>
    </cfRule>
    <cfRule type="expression" dxfId="22" priority="16" stopIfTrue="1">
      <formula>$C7=10</formula>
    </cfRule>
    <cfRule type="expression" dxfId="21" priority="17" stopIfTrue="1">
      <formula>$C7=-20</formula>
    </cfRule>
    <cfRule type="expression" dxfId="20" priority="18" stopIfTrue="1">
      <formula>$C7=-15</formula>
    </cfRule>
    <cfRule type="expression" dxfId="19" priority="19" stopIfTrue="1">
      <formula>$C7=-10</formula>
    </cfRule>
    <cfRule type="expression" dxfId="18" priority="20" stopIfTrue="1">
      <formula>$C7=7.5</formula>
    </cfRule>
    <cfRule type="expression" dxfId="17" priority="21" stopIfTrue="1">
      <formula>$C7=-7.5</formula>
    </cfRule>
    <cfRule type="expression" dxfId="16" priority="22" stopIfTrue="1">
      <formula>$C7=-5</formula>
    </cfRule>
    <cfRule type="expression" dxfId="15" priority="23" stopIfTrue="1">
      <formula>$C7=5</formula>
    </cfRule>
    <cfRule type="expression" dxfId="14" priority="24" stopIfTrue="1">
      <formula>$C7=-2.5</formula>
    </cfRule>
    <cfRule type="expression" dxfId="13" priority="25" stopIfTrue="1">
      <formula>$C7=2.5</formula>
    </cfRule>
  </conditionalFormatting>
  <conditionalFormatting sqref="V7:W7 V10:W10 V13:W13 V16:W16 V19:W19 V22:W22 V25:W25 V28:W28 V31:W31 V34:W34 V37:W37 V40:W40 V43:W43 V46:W46 V49:W49 V52:W52 V55:W55 V58:W58 V61:W61 V64:W64 V67:W67 V70:W70 V73:W73 V76:W76 V79:W79 V82:W82 V85:W85 V88:W88 V91:W91 V94:W94 V97:W97 V100:W100 V103:W103 V106:W106 V109:W109 V112:W112 V115:W115 V118:W118 V121:W121 V124:W124 V127:W127 V130:W130 V133:W133 V136:W136 V139:W139 V142:W142 V145:W145 V148:W148 V151:W151 V154:W154 V157:W157 V160:W160 V163:W163 V166:W166 V169:W169 V172:W172 V175:W175 V178:W178 V181:W181 V184:W184 V187:W187 V190:W190 V193:W193 V196:W196 V199:W199 V202:W202 V205:W205 V208:W208 V211:W211 V214:W214 V217:W217 V220:W220 V223:W223 V226:W226 V229:W229 V232:W232 V235:W235 V238:W238 V241:W241 V244:W244 V247:W247 V250:W250 V253:W253 V256:W256 V259:W259 V262:W262 V265:W265 V268:W268 V271:W271 V274:W274 V277:W277 V280:W280 V283:W283 V286:W286 V289:W289 V292:W292 V295:W295 V298:W298 V301:W301 V304:W304 V307:W307 V310:W310 V313:W313 V316:W316 V319:W319 V322:W322 V325:W325 V328:W328 V331:W331 V334:W334 V337:W337 V340:W340 V343:W343 V346:W346 V349:W349 V352:W352 V355:W355 V358:W358 V361:W361">
    <cfRule type="expression" dxfId="12" priority="2" stopIfTrue="1">
      <formula>$C7=20</formula>
    </cfRule>
    <cfRule type="expression" dxfId="11" priority="3" stopIfTrue="1">
      <formula>$C7=15</formula>
    </cfRule>
    <cfRule type="expression" dxfId="10" priority="4" stopIfTrue="1">
      <formula>$C7=10</formula>
    </cfRule>
    <cfRule type="expression" dxfId="9" priority="5" stopIfTrue="1">
      <formula>$C7=-20</formula>
    </cfRule>
    <cfRule type="expression" dxfId="8" priority="6" stopIfTrue="1">
      <formula>$C7=-15</formula>
    </cfRule>
    <cfRule type="expression" dxfId="7" priority="7" stopIfTrue="1">
      <formula>$C7=-10</formula>
    </cfRule>
    <cfRule type="expression" dxfId="6" priority="8" stopIfTrue="1">
      <formula>$C7=7.5</formula>
    </cfRule>
    <cfRule type="expression" dxfId="5" priority="9" stopIfTrue="1">
      <formula>$C7=-7.5</formula>
    </cfRule>
    <cfRule type="expression" dxfId="4" priority="10" stopIfTrue="1">
      <formula>$C7=-5</formula>
    </cfRule>
    <cfRule type="expression" dxfId="3" priority="11" stopIfTrue="1">
      <formula>$C7=5</formula>
    </cfRule>
    <cfRule type="expression" dxfId="2" priority="12" stopIfTrue="1">
      <formula>$C7=-2.5</formula>
    </cfRule>
    <cfRule type="expression" dxfId="1" priority="13" stopIfTrue="1">
      <formula>$C7=2.5</formula>
    </cfRule>
  </conditionalFormatting>
  <conditionalFormatting sqref="B82 B85 B88 B91 B109 B127 B145 B163 B181 B199 B217 B235 B253 B271 B289 B307 B325 B343 B361 B94 B112 B130 B148 B166 B184 B202 B220 B238 B256 B274 B292 B310 B328 B346 B97 B115 B133 B151 B169 B187 B205 B223 B241 B259 B277 B295 B313 B331 B349 B100 B118 B136 B154 B172 B190 B208 B226 B244 B262 B280 B298 B316 B334 B352 B103 B121 B139 B157 B175 B193 B211 B229 B247 B265 B283 B301 B319 B337 B355 B106 B124 B142 B160 B178 B196 B214 B232 B250 B268 B286 B304 B322 B340 B358 B4 B7 B10 B13 B16 B19 B22 B25 B28 B31 B34 B37 B40 B43 B46 B49 B52 B55 B58 B61 B64 B67 B70 B73 B76 B79">
    <cfRule type="cellIs" dxfId="0" priority="1" operator="equal">
      <formula>"n"</formula>
    </cfRule>
  </conditionalFormatting>
  <pageMargins left="0.75" right="0.75" top="1" bottom="1" header="0.5" footer="0.5"/>
  <pageSetup scale="43" orientation="portrait" r:id="rId3"/>
  <headerFooter alignWithMargins="0"/>
  <rowBreaks count="1" manualBreakCount="1">
    <brk id="48" max="16383" man="1"/>
  </rowBreaks>
  <colBreaks count="1" manualBreakCount="1">
    <brk id="23" max="1048575" man="1"/>
  </colBreaks>
  <cellWatches>
    <cellWatch r="B65"/>
  </cellWatch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40"/>
  <sheetViews>
    <sheetView zoomScale="80" zoomScaleNormal="70" workbookViewId="0">
      <selection activeCell="H30" sqref="H30"/>
    </sheetView>
  </sheetViews>
  <sheetFormatPr defaultColWidth="11.140625" defaultRowHeight="18" x14ac:dyDescent="0.35"/>
  <cols>
    <col min="1" max="1" width="25.5703125" style="73" customWidth="1"/>
    <col min="2" max="12" width="10.28515625" style="73" customWidth="1"/>
    <col min="13" max="13" width="0.85546875" style="73" customWidth="1"/>
    <col min="14" max="15" width="11.28515625" style="73" customWidth="1"/>
    <col min="16" max="23" width="10.28515625" style="73" customWidth="1"/>
    <col min="24" max="26" width="8.42578125" style="73" customWidth="1"/>
    <col min="27" max="16384" width="11.140625" style="73"/>
  </cols>
  <sheetData>
    <row r="1" spans="1:26" ht="15" customHeight="1" x14ac:dyDescent="0.35">
      <c r="A1" s="158" t="s">
        <v>38</v>
      </c>
      <c r="B1" s="159"/>
      <c r="C1" s="159"/>
      <c r="D1" s="159"/>
      <c r="E1" s="159"/>
      <c r="F1" s="159"/>
      <c r="G1" s="159"/>
      <c r="H1" s="159"/>
      <c r="I1" s="159"/>
      <c r="J1" s="159"/>
      <c r="K1" s="159"/>
      <c r="L1" s="159"/>
      <c r="M1" s="160"/>
      <c r="N1" s="161" t="s">
        <v>39</v>
      </c>
      <c r="O1" s="159"/>
      <c r="P1" s="159"/>
      <c r="Q1" s="159"/>
      <c r="R1" s="159"/>
      <c r="S1" s="159"/>
      <c r="T1" s="159"/>
      <c r="U1" s="159"/>
      <c r="V1" s="159"/>
      <c r="W1" s="159"/>
      <c r="X1" s="159"/>
      <c r="Y1" s="72"/>
    </row>
    <row r="2" spans="1:26" ht="37.5" x14ac:dyDescent="0.35">
      <c r="B2" s="75" t="s">
        <v>82</v>
      </c>
      <c r="C2" s="75" t="s">
        <v>83</v>
      </c>
      <c r="D2" s="76" t="s">
        <v>40</v>
      </c>
      <c r="E2" s="76" t="s">
        <v>41</v>
      </c>
      <c r="F2" s="76" t="s">
        <v>42</v>
      </c>
      <c r="G2" s="76" t="s">
        <v>43</v>
      </c>
      <c r="H2" s="76" t="s">
        <v>44</v>
      </c>
      <c r="I2" s="76" t="s">
        <v>45</v>
      </c>
      <c r="J2" s="76" t="s">
        <v>84</v>
      </c>
      <c r="K2" s="76" t="s">
        <v>46</v>
      </c>
      <c r="L2" s="74" t="s">
        <v>85</v>
      </c>
      <c r="M2" s="77"/>
      <c r="N2" s="78" t="s">
        <v>86</v>
      </c>
      <c r="O2" s="78" t="s">
        <v>87</v>
      </c>
      <c r="P2" s="79" t="s">
        <v>47</v>
      </c>
      <c r="Q2" s="79" t="s">
        <v>48</v>
      </c>
      <c r="R2" s="79" t="s">
        <v>49</v>
      </c>
      <c r="S2" s="79" t="s">
        <v>50</v>
      </c>
      <c r="T2" s="79" t="s">
        <v>51</v>
      </c>
      <c r="U2" s="79" t="s">
        <v>52</v>
      </c>
      <c r="V2" s="79" t="s">
        <v>88</v>
      </c>
      <c r="W2" s="79" t="s">
        <v>53</v>
      </c>
      <c r="X2" s="80" t="s">
        <v>89</v>
      </c>
      <c r="Y2" s="80" t="s">
        <v>90</v>
      </c>
      <c r="Z2" s="80" t="s">
        <v>91</v>
      </c>
    </row>
    <row r="3" spans="1:26" x14ac:dyDescent="0.35">
      <c r="B3" s="81">
        <v>0.90900000000000003</v>
      </c>
      <c r="C3" s="81">
        <v>0.81299999999999994</v>
      </c>
      <c r="D3" s="82">
        <v>165</v>
      </c>
      <c r="E3" s="82">
        <v>10</v>
      </c>
      <c r="F3" s="83">
        <f>D3+E3</f>
        <v>175</v>
      </c>
      <c r="G3" s="82">
        <v>22</v>
      </c>
      <c r="H3" s="84">
        <f>G3*1.46667</f>
        <v>32.266739999999999</v>
      </c>
      <c r="I3" s="85">
        <v>56</v>
      </c>
      <c r="J3" s="83">
        <v>2.3779999999999999E-3</v>
      </c>
      <c r="K3" s="83">
        <v>29.92</v>
      </c>
      <c r="L3" s="86">
        <f>0.5*(J3*(H3)^2)</f>
        <v>1.2379184446606162</v>
      </c>
      <c r="N3" s="86">
        <f>B3*0.092903</f>
        <v>8.4448827000000004E-2</v>
      </c>
      <c r="O3" s="86">
        <f>C3*0.092903</f>
        <v>7.5530138999999996E-2</v>
      </c>
      <c r="P3" s="84">
        <f>D3*0.453592</f>
        <v>74.842680000000001</v>
      </c>
      <c r="Q3" s="84">
        <f>E3*0.453592</f>
        <v>4.53592</v>
      </c>
      <c r="R3" s="84">
        <f>P3+Q3</f>
        <v>79.378600000000006</v>
      </c>
      <c r="S3" s="84">
        <f>G3*1.609344</f>
        <v>35.405568000000002</v>
      </c>
      <c r="T3" s="84">
        <f>S3*0.277778</f>
        <v>9.8348878679040013</v>
      </c>
      <c r="U3" s="84">
        <f>I3*1.609344</f>
        <v>90.123264000000006</v>
      </c>
      <c r="V3" s="83">
        <v>1.2250000000000001</v>
      </c>
      <c r="W3" s="83">
        <v>101.325</v>
      </c>
      <c r="X3" s="84">
        <f>L3*4.882401</f>
        <v>6.0440142521294371</v>
      </c>
      <c r="Y3" s="83">
        <v>4.0000000000000001E-3</v>
      </c>
      <c r="Z3" s="83">
        <v>2.9999999999999997E-4</v>
      </c>
    </row>
    <row r="5" spans="1:26" ht="19.5" x14ac:dyDescent="0.35">
      <c r="B5" s="87" t="s">
        <v>92</v>
      </c>
      <c r="C5" s="88">
        <f>B3-C3</f>
        <v>9.6000000000000085E-2</v>
      </c>
    </row>
    <row r="6" spans="1:26" ht="19.5" x14ac:dyDescent="0.35">
      <c r="B6" s="87" t="s">
        <v>93</v>
      </c>
      <c r="C6" s="89">
        <f>(C3-B3)/B3</f>
        <v>-0.1056105610561057</v>
      </c>
    </row>
    <row r="7" spans="1:26" ht="22.5" x14ac:dyDescent="0.35">
      <c r="J7" s="164" t="s">
        <v>94</v>
      </c>
      <c r="K7" s="165"/>
      <c r="L7" s="165"/>
      <c r="O7" s="166" t="s">
        <v>95</v>
      </c>
      <c r="P7" s="163"/>
      <c r="Q7" s="163"/>
    </row>
    <row r="8" spans="1:26" ht="22.5" x14ac:dyDescent="0.35">
      <c r="K8" s="90" t="s">
        <v>54</v>
      </c>
      <c r="L8" s="90"/>
      <c r="M8" s="90"/>
      <c r="P8" s="90" t="s">
        <v>54</v>
      </c>
      <c r="Y8" s="162" t="s">
        <v>95</v>
      </c>
      <c r="Z8" s="163"/>
    </row>
    <row r="9" spans="1:26" x14ac:dyDescent="0.35">
      <c r="C9" s="91"/>
      <c r="K9" s="92" t="s">
        <v>55</v>
      </c>
      <c r="L9" s="93">
        <f>B3*(0.5*(J3*H3^2))</f>
        <v>1.1252678661965001</v>
      </c>
      <c r="M9" s="92"/>
      <c r="P9" s="92" t="s">
        <v>56</v>
      </c>
      <c r="Q9" s="94">
        <f>L9*453.592</f>
        <v>510.41250196380287</v>
      </c>
      <c r="Y9" s="95" t="s">
        <v>57</v>
      </c>
      <c r="Z9" s="94">
        <f>0.5*V3*T3^3*N3</f>
        <v>49.204854585598738</v>
      </c>
    </row>
    <row r="10" spans="1:26" x14ac:dyDescent="0.35">
      <c r="K10" s="92" t="s">
        <v>58</v>
      </c>
      <c r="L10" s="93">
        <f>(B3*L3*G3*1.46667)/550</f>
        <v>6.6015864852576822E-2</v>
      </c>
      <c r="M10" s="93"/>
      <c r="P10" s="92" t="s">
        <v>59</v>
      </c>
      <c r="Q10" s="94">
        <f>Z9</f>
        <v>49.204854585598738</v>
      </c>
      <c r="Y10" s="95" t="s">
        <v>60</v>
      </c>
      <c r="Z10" s="94">
        <f>Y3*R3*9.81*T3</f>
        <v>30.633868685563669</v>
      </c>
    </row>
    <row r="11" spans="1:26" x14ac:dyDescent="0.35">
      <c r="K11" s="92" t="s">
        <v>61</v>
      </c>
      <c r="L11" s="93">
        <f>Q11/746</f>
        <v>0.11010222978898082</v>
      </c>
      <c r="P11" s="92" t="s">
        <v>62</v>
      </c>
      <c r="Q11" s="96">
        <f>Z12</f>
        <v>82.136263422579688</v>
      </c>
      <c r="Y11" s="95" t="s">
        <v>63</v>
      </c>
      <c r="Z11" s="94">
        <f>Z3*R3*9.81*T3</f>
        <v>2.2975401514172753</v>
      </c>
    </row>
    <row r="12" spans="1:26" x14ac:dyDescent="0.35">
      <c r="K12" s="97" t="s">
        <v>64</v>
      </c>
      <c r="L12" s="98">
        <f>((B3*0.5*J3*H3^3)/550)+(F3*(Y3+Z3)*H3/550)</f>
        <v>0.11016263185257681</v>
      </c>
      <c r="Y12" s="95" t="s">
        <v>65</v>
      </c>
      <c r="Z12" s="99">
        <f>SUM(Z9:Z11)</f>
        <v>82.136263422579688</v>
      </c>
    </row>
    <row r="14" spans="1:26" ht="22.5" x14ac:dyDescent="0.35">
      <c r="J14" s="164" t="s">
        <v>96</v>
      </c>
      <c r="K14" s="165"/>
      <c r="L14" s="165"/>
      <c r="O14" s="166" t="s">
        <v>97</v>
      </c>
      <c r="P14" s="163"/>
      <c r="Q14" s="163"/>
      <c r="Y14" s="162" t="s">
        <v>97</v>
      </c>
      <c r="Z14" s="163"/>
    </row>
    <row r="15" spans="1:26" x14ac:dyDescent="0.35">
      <c r="K15" s="90" t="s">
        <v>54</v>
      </c>
      <c r="P15" s="90" t="s">
        <v>54</v>
      </c>
      <c r="Y15" s="95" t="s">
        <v>57</v>
      </c>
      <c r="Z15" s="94">
        <f>0.5*V3*T3^3*O3</f>
        <v>44.008302286129556</v>
      </c>
    </row>
    <row r="16" spans="1:26" x14ac:dyDescent="0.35">
      <c r="K16" s="92" t="s">
        <v>55</v>
      </c>
      <c r="L16" s="93">
        <f>((((H3)^2)*J3)*C3)/2</f>
        <v>1.006427695509081</v>
      </c>
      <c r="P16" s="92" t="s">
        <v>56</v>
      </c>
      <c r="Q16" s="94">
        <f>L16*453.592</f>
        <v>456.50755126135505</v>
      </c>
      <c r="Y16" s="95" t="s">
        <v>60</v>
      </c>
      <c r="Z16" s="94">
        <f>Y3*R3*9.81*T3</f>
        <v>30.633868685563669</v>
      </c>
    </row>
    <row r="17" spans="1:26" x14ac:dyDescent="0.35">
      <c r="B17" s="90" t="s">
        <v>66</v>
      </c>
      <c r="C17" s="90" t="s">
        <v>67</v>
      </c>
      <c r="K17" s="92" t="s">
        <v>58</v>
      </c>
      <c r="L17" s="93">
        <f>Q17/746</f>
        <v>5.8992362313846587E-2</v>
      </c>
      <c r="P17" s="92" t="s">
        <v>59</v>
      </c>
      <c r="Q17" s="94">
        <f>Z15</f>
        <v>44.008302286129556</v>
      </c>
      <c r="Y17" s="95" t="s">
        <v>63</v>
      </c>
      <c r="Z17" s="94">
        <f>Z3*R3*9.81*T3</f>
        <v>2.2975401514172753</v>
      </c>
    </row>
    <row r="18" spans="1:26" x14ac:dyDescent="0.35">
      <c r="B18" s="73">
        <v>85</v>
      </c>
      <c r="C18" s="94">
        <f>B18*1.6093</f>
        <v>136.79050000000001</v>
      </c>
      <c r="K18" s="92" t="s">
        <v>61</v>
      </c>
      <c r="L18" s="93">
        <f>Q18/746</f>
        <v>0.10313634198808377</v>
      </c>
      <c r="P18" s="92" t="s">
        <v>62</v>
      </c>
      <c r="Q18" s="94">
        <f>Z18</f>
        <v>76.939711123110499</v>
      </c>
      <c r="Y18" s="95" t="s">
        <v>65</v>
      </c>
      <c r="Z18" s="99">
        <f>SUM(Z15:Z17)</f>
        <v>76.939711123110499</v>
      </c>
    </row>
    <row r="20" spans="1:26" ht="19.5" x14ac:dyDescent="0.35">
      <c r="H20" s="100"/>
      <c r="I20" s="101" t="s">
        <v>68</v>
      </c>
      <c r="J20" s="102"/>
      <c r="K20" s="103" t="s">
        <v>98</v>
      </c>
      <c r="L20" s="104">
        <f>L9-L16</f>
        <v>0.11884017068741914</v>
      </c>
      <c r="M20" s="105"/>
      <c r="N20" s="105"/>
      <c r="O20" s="105"/>
      <c r="P20" s="103" t="s">
        <v>99</v>
      </c>
      <c r="Q20" s="106">
        <f>Q9-Q16</f>
        <v>53.90495070244782</v>
      </c>
    </row>
    <row r="21" spans="1:26" ht="19.5" x14ac:dyDescent="0.35">
      <c r="H21" s="100"/>
      <c r="I21" s="100"/>
      <c r="J21" s="107"/>
      <c r="K21" s="108" t="s">
        <v>100</v>
      </c>
      <c r="L21" s="104">
        <f>L11-L18</f>
        <v>6.9658878008970471E-3</v>
      </c>
      <c r="M21" s="109"/>
      <c r="N21" s="109"/>
      <c r="O21" s="109"/>
      <c r="P21" s="108" t="s">
        <v>101</v>
      </c>
      <c r="Q21" s="106">
        <f>Q11-Q18</f>
        <v>5.1965522994691895</v>
      </c>
    </row>
    <row r="22" spans="1:26" ht="19.5" x14ac:dyDescent="0.35">
      <c r="A22" s="92"/>
      <c r="H22" s="100"/>
      <c r="I22" s="100"/>
      <c r="K22" s="87"/>
    </row>
    <row r="23" spans="1:26" x14ac:dyDescent="0.35">
      <c r="H23" s="100"/>
      <c r="I23" s="100"/>
    </row>
    <row r="24" spans="1:26" x14ac:dyDescent="0.35">
      <c r="H24" s="100"/>
      <c r="I24" s="101" t="s">
        <v>69</v>
      </c>
      <c r="J24" s="102"/>
      <c r="K24" s="110" t="s">
        <v>70</v>
      </c>
      <c r="L24" s="111">
        <f>((550*L10)/(B3*L3))/1.46667</f>
        <v>22</v>
      </c>
      <c r="M24" s="105"/>
      <c r="N24" s="105"/>
      <c r="O24" s="105"/>
      <c r="P24" s="110" t="s">
        <v>71</v>
      </c>
      <c r="Q24" s="106">
        <f>L24*1.604</f>
        <v>35.288000000000004</v>
      </c>
    </row>
    <row r="25" spans="1:26" x14ac:dyDescent="0.35">
      <c r="H25" s="100"/>
      <c r="I25" s="101"/>
      <c r="J25" s="112"/>
      <c r="K25" s="113" t="s">
        <v>72</v>
      </c>
      <c r="L25" s="111">
        <f>((B3/C3)^0.3156)*G3</f>
        <v>22.788769000627344</v>
      </c>
      <c r="M25" s="100"/>
      <c r="N25" s="100"/>
      <c r="O25" s="100"/>
      <c r="P25" s="114" t="s">
        <v>73</v>
      </c>
      <c r="Q25" s="106">
        <f>L25*1.604</f>
        <v>36.553185477006259</v>
      </c>
    </row>
    <row r="26" spans="1:26" ht="19.5" x14ac:dyDescent="0.35">
      <c r="H26" s="100"/>
      <c r="I26" s="101"/>
      <c r="J26" s="112"/>
      <c r="K26" s="115" t="s">
        <v>102</v>
      </c>
      <c r="L26" s="111">
        <f>L25-L24</f>
        <v>0.78876900062734379</v>
      </c>
      <c r="M26" s="100"/>
      <c r="N26" s="100"/>
      <c r="O26" s="100"/>
      <c r="P26" s="116" t="s">
        <v>103</v>
      </c>
      <c r="Q26" s="106">
        <f>L26*1.604</f>
        <v>1.2651854770062596</v>
      </c>
    </row>
    <row r="27" spans="1:26" ht="19.5" x14ac:dyDescent="0.35">
      <c r="H27" s="100"/>
      <c r="I27" s="101"/>
      <c r="J27" s="112"/>
      <c r="K27" s="115"/>
      <c r="L27" s="117"/>
      <c r="M27" s="100"/>
      <c r="N27" s="100"/>
      <c r="O27" s="100"/>
      <c r="P27" s="115"/>
      <c r="Q27" s="118"/>
    </row>
    <row r="28" spans="1:26" x14ac:dyDescent="0.35">
      <c r="C28" s="119" t="s">
        <v>74</v>
      </c>
      <c r="D28" s="73" t="s">
        <v>75</v>
      </c>
      <c r="H28" s="100"/>
      <c r="I28" s="100"/>
      <c r="J28" s="112"/>
      <c r="K28" s="120" t="s">
        <v>76</v>
      </c>
      <c r="L28" s="121">
        <f>(I3/G3)*(1/24)</f>
        <v>0.10606060606060605</v>
      </c>
      <c r="M28" s="100"/>
      <c r="N28" s="100"/>
      <c r="O28" s="100"/>
      <c r="P28" s="100"/>
      <c r="Q28" s="122"/>
    </row>
    <row r="29" spans="1:26" x14ac:dyDescent="0.35">
      <c r="A29" s="92" t="s">
        <v>77</v>
      </c>
      <c r="B29" s="83">
        <v>0.62136999999999998</v>
      </c>
      <c r="C29" s="123">
        <v>20</v>
      </c>
      <c r="D29" s="99">
        <f>C29*B29</f>
        <v>12.427399999999999</v>
      </c>
      <c r="E29" s="124" t="s">
        <v>104</v>
      </c>
      <c r="H29" s="100"/>
      <c r="I29" s="100"/>
      <c r="J29" s="112"/>
      <c r="K29" s="120" t="s">
        <v>78</v>
      </c>
      <c r="L29" s="121">
        <f>((I3/(G3+L26)))*(1/24)</f>
        <v>0.10238961715172504</v>
      </c>
      <c r="M29" s="100"/>
      <c r="N29" s="100"/>
      <c r="O29" s="100"/>
      <c r="P29" s="100"/>
      <c r="Q29" s="122"/>
    </row>
    <row r="30" spans="1:26" ht="19.5" x14ac:dyDescent="0.35">
      <c r="B30" s="83"/>
      <c r="C30" s="123"/>
      <c r="D30" s="83"/>
      <c r="J30" s="107"/>
      <c r="K30" s="108" t="s">
        <v>105</v>
      </c>
      <c r="L30" s="125">
        <f>L28-L29</f>
        <v>3.6709889088810121E-3</v>
      </c>
      <c r="M30" s="109"/>
      <c r="N30" s="126"/>
      <c r="O30" s="109"/>
      <c r="P30" s="109"/>
      <c r="Q30" s="127"/>
    </row>
    <row r="31" spans="1:26" x14ac:dyDescent="0.35">
      <c r="A31" s="92" t="s">
        <v>79</v>
      </c>
      <c r="B31" s="83">
        <v>2.2046000000000001</v>
      </c>
      <c r="C31" s="123">
        <v>70</v>
      </c>
      <c r="D31" s="99">
        <f>C31*B31</f>
        <v>154.322</v>
      </c>
      <c r="E31" s="124" t="s">
        <v>106</v>
      </c>
    </row>
    <row r="32" spans="1:26" x14ac:dyDescent="0.35">
      <c r="A32" s="92"/>
      <c r="B32" s="83"/>
      <c r="C32" s="123"/>
      <c r="D32" s="83"/>
      <c r="F32" s="128"/>
      <c r="G32" s="128"/>
    </row>
    <row r="33" spans="1:11" x14ac:dyDescent="0.35">
      <c r="A33" s="92" t="s">
        <v>80</v>
      </c>
      <c r="B33" s="83">
        <v>0.62136999999999998</v>
      </c>
      <c r="C33" s="129">
        <v>40</v>
      </c>
      <c r="D33" s="99">
        <f>C33*B33</f>
        <v>24.854799999999997</v>
      </c>
      <c r="E33" s="124" t="s">
        <v>107</v>
      </c>
      <c r="F33" s="128"/>
      <c r="G33" s="128"/>
    </row>
    <row r="34" spans="1:11" x14ac:dyDescent="0.35">
      <c r="F34" s="128"/>
      <c r="G34" s="128"/>
    </row>
    <row r="35" spans="1:11" x14ac:dyDescent="0.35">
      <c r="E35" s="128"/>
      <c r="F35" s="130"/>
      <c r="G35" s="130"/>
      <c r="H35" s="131"/>
      <c r="I35" s="131"/>
      <c r="J35" s="131"/>
      <c r="K35" s="131"/>
    </row>
    <row r="36" spans="1:11" x14ac:dyDescent="0.35">
      <c r="F36" s="132"/>
      <c r="G36" s="133"/>
      <c r="H36" s="133"/>
      <c r="I36" s="133"/>
      <c r="J36" s="134"/>
      <c r="K36" s="134"/>
    </row>
    <row r="37" spans="1:11" x14ac:dyDescent="0.35">
      <c r="F37" s="132"/>
      <c r="G37" s="133"/>
      <c r="H37" s="133"/>
      <c r="I37" s="133"/>
      <c r="J37" s="134"/>
      <c r="K37" s="134"/>
    </row>
    <row r="38" spans="1:11" x14ac:dyDescent="0.35">
      <c r="F38" s="131"/>
      <c r="G38" s="133"/>
      <c r="H38" s="133"/>
      <c r="I38" s="133"/>
      <c r="J38" s="133"/>
      <c r="K38" s="133"/>
    </row>
    <row r="39" spans="1:11" x14ac:dyDescent="0.35">
      <c r="B39" s="135" t="s">
        <v>81</v>
      </c>
      <c r="F39" s="133"/>
      <c r="G39" s="133"/>
      <c r="H39" s="133"/>
      <c r="I39" s="136"/>
      <c r="J39" s="133"/>
      <c r="K39" s="133"/>
    </row>
    <row r="40" spans="1:11" x14ac:dyDescent="0.35">
      <c r="F40" s="131"/>
      <c r="G40" s="131"/>
      <c r="H40" s="131"/>
      <c r="I40" s="137"/>
      <c r="J40" s="131"/>
      <c r="K40" s="131"/>
    </row>
  </sheetData>
  <customSheetViews>
    <customSheetView guid="{713535A1-63D1-469B-A76D-6F7E59A77D5A}" scale="80">
      <selection activeCell="I34" sqref="I34"/>
      <pageMargins left="0.75" right="0.75" top="1" bottom="1" header="0.5" footer="0.5"/>
      <pageSetup orientation="portrait" r:id="rId1"/>
      <headerFooter alignWithMargins="0"/>
    </customSheetView>
    <customSheetView guid="{9CC97356-07AB-46FE-A8EE-09110414999D}" scale="80">
      <selection activeCell="I34" sqref="I34"/>
      <pageMargins left="0.75" right="0.75" top="1" bottom="1" header="0.5" footer="0.5"/>
      <pageSetup orientation="portrait" r:id="rId2"/>
      <headerFooter alignWithMargins="0"/>
    </customSheetView>
  </customSheetViews>
  <mergeCells count="8">
    <mergeCell ref="A1:M1"/>
    <mergeCell ref="N1:X1"/>
    <mergeCell ref="Y8:Z8"/>
    <mergeCell ref="Y14:Z14"/>
    <mergeCell ref="J7:L7"/>
    <mergeCell ref="O7:Q7"/>
    <mergeCell ref="J14:L14"/>
    <mergeCell ref="O14:Q14"/>
  </mergeCells>
  <phoneticPr fontId="2" type="noConversion"/>
  <pageMargins left="0.75" right="0.75" top="1" bottom="1" header="0.5" footer="0.5"/>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Coeff</vt:lpstr>
      <vt:lpstr>Time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Customer</dc:creator>
  <cp:lastModifiedBy>Customer</cp:lastModifiedBy>
  <dcterms:created xsi:type="dcterms:W3CDTF">2007-08-21T16:55:33Z</dcterms:created>
  <dcterms:modified xsi:type="dcterms:W3CDTF">2019-05-31T18:04:03Z</dcterms:modified>
</cp:coreProperties>
</file>